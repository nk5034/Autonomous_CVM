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dafone-my.sharepoint.com/personal/neeraj_kumar_vodafone_com/Documents/Desktop 1/AI Innovation Day/CVM Catalyst/"/>
    </mc:Choice>
  </mc:AlternateContent>
  <xr:revisionPtr revIDLastSave="735" documentId="8_{7BB5E70B-1687-4E58-9552-FC4B6AFA87F8}" xr6:coauthVersionLast="47" xr6:coauthVersionMax="47" xr10:uidLastSave="{A6BDB3A7-D189-4A62-9591-5338BCEF31BA}"/>
  <bookViews>
    <workbookView xWindow="-108" yWindow="-108" windowWidth="23256" windowHeight="12456" firstSheet="13" activeTab="15" xr2:uid="{DE7FB4C0-2D22-4B88-8A78-3CF96D58C813}"/>
  </bookViews>
  <sheets>
    <sheet name="Cover" sheetId="17" r:id="rId1"/>
    <sheet name="Proposition" sheetId="1" r:id="rId2"/>
    <sheet name="Treatment" sheetId="2" r:id="rId3"/>
    <sheet name="Suppression Rule" sheetId="3" r:id="rId4"/>
    <sheet name="Contact Policy" sheetId="4" r:id="rId5"/>
    <sheet name="Contact Rule" sheetId="5" r:id="rId6"/>
    <sheet name="Control Group" sheetId="6" r:id="rId7"/>
    <sheet name="Frequency" sheetId="7" r:id="rId8"/>
    <sheet name="Volume Constraint" sheetId="8" r:id="rId9"/>
    <sheet name="Email Metadata" sheetId="9" r:id="rId10"/>
    <sheet name="SMS Metadata" sheetId="10" r:id="rId11"/>
    <sheet name="Letter Metadata" sheetId="11" r:id="rId12"/>
    <sheet name="Dialer Metadata" sheetId="12" r:id="rId13"/>
    <sheet name="Response Table" sheetId="13" r:id="rId14"/>
    <sheet name="Prioritization Table" sheetId="14" r:id="rId15"/>
    <sheet name="Reporting Table" sheetId="1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3" i="15" l="1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</calcChain>
</file>

<file path=xl/sharedStrings.xml><?xml version="1.0" encoding="utf-8"?>
<sst xmlns="http://schemas.openxmlformats.org/spreadsheetml/2006/main" count="664" uniqueCount="395">
  <si>
    <t>Description</t>
  </si>
  <si>
    <t>Text</t>
  </si>
  <si>
    <t>Cost</t>
  </si>
  <si>
    <t>Category</t>
  </si>
  <si>
    <t>Language</t>
  </si>
  <si>
    <t>Offer_Identifier</t>
  </si>
  <si>
    <t>Business_Group</t>
  </si>
  <si>
    <t>Business_Issue</t>
  </si>
  <si>
    <t>Offer_Name</t>
  </si>
  <si>
    <t>Is_Active</t>
  </si>
  <si>
    <t>Start_Date</t>
  </si>
  <si>
    <t>End_Date</t>
  </si>
  <si>
    <t>Suppresion_Rule</t>
  </si>
  <si>
    <t>Contact_Policy</t>
  </si>
  <si>
    <t>Control_Group</t>
  </si>
  <si>
    <t>Frequency</t>
  </si>
  <si>
    <t>Volume_Constraint</t>
  </si>
  <si>
    <t>Retention</t>
  </si>
  <si>
    <t>Prevention</t>
  </si>
  <si>
    <t>CrossSell</t>
  </si>
  <si>
    <t>UpSell</t>
  </si>
  <si>
    <t>Service</t>
  </si>
  <si>
    <t>Mobile</t>
  </si>
  <si>
    <t>Fixed</t>
  </si>
  <si>
    <t>All</t>
  </si>
  <si>
    <t>Emergency_001</t>
  </si>
  <si>
    <t>RED_1000</t>
  </si>
  <si>
    <t>Winback_10</t>
  </si>
  <si>
    <t>Retention_5</t>
  </si>
  <si>
    <t>BroadMax_1000</t>
  </si>
  <si>
    <t>Winback Discount 10P</t>
  </si>
  <si>
    <t>Prolongation Discount 5P</t>
  </si>
  <si>
    <t>Giga Connection Wireline</t>
  </si>
  <si>
    <t>Bundle Offer with 1GBPS</t>
  </si>
  <si>
    <t>Fake URL Alert</t>
  </si>
  <si>
    <t>SR001</t>
  </si>
  <si>
    <t>SR002</t>
  </si>
  <si>
    <t>SR003</t>
  </si>
  <si>
    <t>CP001</t>
  </si>
  <si>
    <t>CG001</t>
  </si>
  <si>
    <t>Daily</t>
  </si>
  <si>
    <t>Adhoc</t>
  </si>
  <si>
    <t>Marketing</t>
  </si>
  <si>
    <t>Channel</t>
  </si>
  <si>
    <t>Direction</t>
  </si>
  <si>
    <t>Placement</t>
  </si>
  <si>
    <t>Treatment Cost</t>
  </si>
  <si>
    <t>Format</t>
  </si>
  <si>
    <t>Treatment_Name</t>
  </si>
  <si>
    <t>Treatment_Description</t>
  </si>
  <si>
    <t>Image_URL</t>
  </si>
  <si>
    <t>Click_Through_URL</t>
  </si>
  <si>
    <t>Subject_Line</t>
  </si>
  <si>
    <t>Message_Body</t>
  </si>
  <si>
    <t>Emergency_TR_01</t>
  </si>
  <si>
    <t>Fake URL SMS</t>
  </si>
  <si>
    <t>SMS</t>
  </si>
  <si>
    <t>Outbound</t>
  </si>
  <si>
    <t>EN</t>
  </si>
  <si>
    <t>Please be aware of pishing URLs</t>
  </si>
  <si>
    <t>Retention_Dialer_01</t>
  </si>
  <si>
    <t>Dialer</t>
  </si>
  <si>
    <t>Prevention_Email_01</t>
  </si>
  <si>
    <t>Prevention Email Treatment</t>
  </si>
  <si>
    <t>Retention Dialer Treatment</t>
  </si>
  <si>
    <t>Email</t>
  </si>
  <si>
    <t>https://xyz.com</t>
  </si>
  <si>
    <t>Be with Vodafone</t>
  </si>
  <si>
    <t>Letter</t>
  </si>
  <si>
    <t>CrossSell_Email_01</t>
  </si>
  <si>
    <t>UpSell_Letter_01</t>
  </si>
  <si>
    <t>Upsell Letter Treatment</t>
  </si>
  <si>
    <t>CrossSell Email Treatment</t>
  </si>
  <si>
    <t>We are pleased to offer you an amazing offer on your prolongation</t>
  </si>
  <si>
    <t>Why not try out internet</t>
  </si>
  <si>
    <t>You have been surfing the web on the mobile, why not try our fixed internet</t>
  </si>
  <si>
    <t>SUPPRESSION RULES</t>
  </si>
  <si>
    <t>Eligibility exclusions referenced by active propositions.</t>
  </si>
  <si>
    <t>Rule_ID</t>
  </si>
  <si>
    <t>Rule_Name</t>
  </si>
  <si>
    <t>Scope</t>
  </si>
  <si>
    <t>Condition</t>
  </si>
  <si>
    <t>Lookback_Days</t>
  </si>
  <si>
    <t>Retention exclusions</t>
  </si>
  <si>
    <t>Suppress customers with an active do-not-contact status or an unresolved complaint.</t>
  </si>
  <si>
    <t>DNC = TRUE OR Open_Complaint = TRUE</t>
  </si>
  <si>
    <t>Marketing contact exclusions</t>
  </si>
  <si>
    <t>Suppress customers who opted out or received a marketing contact within the lookback period.</t>
  </si>
  <si>
    <t>Marketing_Opt_Out = TRUE OR Recent_Marketing_Contact = TRUE</t>
  </si>
  <si>
    <t>Emergency delivery exclusions</t>
  </si>
  <si>
    <t>Suppress only records without a valid reachable destination.</t>
  </si>
  <si>
    <t>Valid_Destination = FALSE</t>
  </si>
  <si>
    <t>CONTACT POLICIES</t>
  </si>
  <si>
    <t>Cross-channel communication limits referenced by propositions.</t>
  </si>
  <si>
    <t>Policy_ID</t>
  </si>
  <si>
    <t>Policy_Name</t>
  </si>
  <si>
    <t>Max_Contacts</t>
  </si>
  <si>
    <t>Period_Days</t>
  </si>
  <si>
    <t>Applies_To</t>
  </si>
  <si>
    <t>Priority_Behavior</t>
  </si>
  <si>
    <t>Standard marketing policy</t>
  </si>
  <si>
    <t>Limits total outbound marketing pressure across email, letter, and dialer channels.</t>
  </si>
  <si>
    <t>Highest priority eligible treatment wins</t>
  </si>
  <si>
    <t>CONTACT RULES</t>
  </si>
  <si>
    <t>Channel-level rules that implement each contact policy.</t>
  </si>
  <si>
    <t>Cooldown_Hours</t>
  </si>
  <si>
    <t>Rule_Description</t>
  </si>
  <si>
    <t>CR001</t>
  </si>
  <si>
    <t>No more than two marketing emails in seven days and at least 24 hours between sends.</t>
  </si>
  <si>
    <t>CR002</t>
  </si>
  <si>
    <t>No more than one marketing dialer attempt in seven days.</t>
  </si>
  <si>
    <t>CR003</t>
  </si>
  <si>
    <t>No more than one marketing letter in thirty days.</t>
  </si>
  <si>
    <t>CR004</t>
  </si>
  <si>
    <t>Allow at most one outbound marketing contact per day across channels.</t>
  </si>
  <si>
    <t>CONTROL GROUPS</t>
  </si>
  <si>
    <t>Holdout definitions used to measure incremental campaign impact.</t>
  </si>
  <si>
    <t>Control_Group_ID</t>
  </si>
  <si>
    <t>Control_Group_Name</t>
  </si>
  <si>
    <t>Allocation_Percent</t>
  </si>
  <si>
    <t>Selection_Method</t>
  </si>
  <si>
    <t>Reassignment_Period_Days</t>
  </si>
  <si>
    <t>Standard marketing holdout</t>
  </si>
  <si>
    <t>Randomly withholds eligible customers to estimate incremental treatment lift.</t>
  </si>
  <si>
    <t>Random</t>
  </si>
  <si>
    <t>FREQUENCY DEFINITIONS</t>
  </si>
  <si>
    <t>Execution cadence values used by propositions.</t>
  </si>
  <si>
    <t>Frequency_ID</t>
  </si>
  <si>
    <t>Frequency_Name</t>
  </si>
  <si>
    <t>Interval_Unit</t>
  </si>
  <si>
    <t>Interval_Value</t>
  </si>
  <si>
    <t>Schedule_Type</t>
  </si>
  <si>
    <t>FREQ_DAILY</t>
  </si>
  <si>
    <t>Runs once each calendar day.</t>
  </si>
  <si>
    <t>Day</t>
  </si>
  <si>
    <t>Recurring</t>
  </si>
  <si>
    <t>FREQ_ADHOC</t>
  </si>
  <si>
    <t>Runs only when triggered by an approved service event.</t>
  </si>
  <si>
    <t>Event</t>
  </si>
  <si>
    <t>Triggered</t>
  </si>
  <si>
    <t>VOLUME CONSTRAINTS</t>
  </si>
  <si>
    <t>Operational channel capacities available for campaign execution.</t>
  </si>
  <si>
    <t>Constraint_ID</t>
  </si>
  <si>
    <t>Constraint_Name</t>
  </si>
  <si>
    <t>Max_Volume</t>
  </si>
  <si>
    <t>Period</t>
  </si>
  <si>
    <t>VC_EMAIL_DAILY</t>
  </si>
  <si>
    <t>Email daily capacity</t>
  </si>
  <si>
    <t>Maximum email treatments that may be sent per day.</t>
  </si>
  <si>
    <t>VC_SMS_DAILY</t>
  </si>
  <si>
    <t>SMS daily capacity</t>
  </si>
  <si>
    <t>Maximum SMS treatments that may be sent per day.</t>
  </si>
  <si>
    <t>VC_LETTER_DAILY</t>
  </si>
  <si>
    <t>Letter daily capacity</t>
  </si>
  <si>
    <t>Maximum letters that may be released to fulfilment per day.</t>
  </si>
  <si>
    <t>VC_DIALER_DAILY</t>
  </si>
  <si>
    <t>Dialer daily capacity</t>
  </si>
  <si>
    <t>Maximum dialer records that may be loaded per day.</t>
  </si>
  <si>
    <t>EMAIL METADATA</t>
  </si>
  <si>
    <t>Delivery settings for email treatments in the Treatment sheet.</t>
  </si>
  <si>
    <t>Sender_Name</t>
  </si>
  <si>
    <t>Sender_Email</t>
  </si>
  <si>
    <t>Reply_To_Email</t>
  </si>
  <si>
    <t>Content_Type</t>
  </si>
  <si>
    <t>Track_Opens</t>
  </si>
  <si>
    <t>Track_Clicks</t>
  </si>
  <si>
    <t>Unsubscribe_Required</t>
  </si>
  <si>
    <t>Vodafone</t>
  </si>
  <si>
    <t>offers@xyz.com</t>
  </si>
  <si>
    <t>support@xyz.com</t>
  </si>
  <si>
    <t>HTML</t>
  </si>
  <si>
    <t>SMS METADATA</t>
  </si>
  <si>
    <t>Delivery settings for SMS treatments in the Treatment sheet.</t>
  </si>
  <si>
    <t>Sender_ID</t>
  </si>
  <si>
    <t>Message_Type</t>
  </si>
  <si>
    <t>Encoding</t>
  </si>
  <si>
    <t>Max_Segments</t>
  </si>
  <si>
    <t>Delivery_Receipt</t>
  </si>
  <si>
    <t>Opt_Out_Required</t>
  </si>
  <si>
    <t>GSM-7</t>
  </si>
  <si>
    <t>LETTER METADATA</t>
  </si>
  <si>
    <t>Fulfilment settings for letter treatments in the Treatment sheet.</t>
  </si>
  <si>
    <t>Template_ID</t>
  </si>
  <si>
    <t>Paper_Size</t>
  </si>
  <si>
    <t>Color_Mode</t>
  </si>
  <si>
    <t>Duplex</t>
  </si>
  <si>
    <t>Envelope_Type</t>
  </si>
  <si>
    <t>Postage_Class</t>
  </si>
  <si>
    <t>LTR_UPSELL_01</t>
  </si>
  <si>
    <t>A4</t>
  </si>
  <si>
    <t>Color</t>
  </si>
  <si>
    <t>C5 Window</t>
  </si>
  <si>
    <t>Standard</t>
  </si>
  <si>
    <t>DIALER METADATA</t>
  </si>
  <si>
    <t>Outbound calling settings for dialer treatments in the Treatment sheet.</t>
  </si>
  <si>
    <t>Dialer_Queue</t>
  </si>
  <si>
    <t>Script_ID</t>
  </si>
  <si>
    <t>Max_Attempts</t>
  </si>
  <si>
    <t>Retry_Interval_Hours</t>
  </si>
  <si>
    <t>Calling_Window</t>
  </si>
  <si>
    <t>Record_Calls</t>
  </si>
  <si>
    <t>SCR_RET_01</t>
  </si>
  <si>
    <t>09:00-18:00</t>
  </si>
  <si>
    <t>RESPONSE DEFINITIONS</t>
  </si>
  <si>
    <t>Standard success and non-success events for every configured treatment.</t>
  </si>
  <si>
    <t>Response_Code</t>
  </si>
  <si>
    <t>Response_Name</t>
  </si>
  <si>
    <t>Is_Positive</t>
  </si>
  <si>
    <t>Attribution_Window_Days</t>
  </si>
  <si>
    <t>Is_Terminal</t>
  </si>
  <si>
    <t>RSP_RET_SUCCESS</t>
  </si>
  <si>
    <t>Offer accepted</t>
  </si>
  <si>
    <t>RSP_RET_NORESP</t>
  </si>
  <si>
    <t>No answer</t>
  </si>
  <si>
    <t>RSP_PREV_SUCCESS</t>
  </si>
  <si>
    <t>Prolongation completed</t>
  </si>
  <si>
    <t>RSP_PREV_NORESP</t>
  </si>
  <si>
    <t>No response</t>
  </si>
  <si>
    <t>RSP_CROSS_SUCCESS</t>
  </si>
  <si>
    <t>Fixed internet ordered</t>
  </si>
  <si>
    <t>RSP_CROSS_NORESP</t>
  </si>
  <si>
    <t>RSP_UPSELL_SUCCESS</t>
  </si>
  <si>
    <t>Bundle ordered</t>
  </si>
  <si>
    <t>RSP_UPSELL_NORESP</t>
  </si>
  <si>
    <t>RSP_EMERG_DELIVERED</t>
  </si>
  <si>
    <t>Alert delivered</t>
  </si>
  <si>
    <t>RSP_EMERG_FAILED</t>
  </si>
  <si>
    <t>Delivery failed</t>
  </si>
  <si>
    <t>TREATMENT PRIORITIZATION</t>
  </si>
  <si>
    <t>Lower rank values execute first when multiple treatments are eligible.</t>
  </si>
  <si>
    <t>Priority_Rank</t>
  </si>
  <si>
    <t>Priority_Reason</t>
  </si>
  <si>
    <t>Tie_Breaker</t>
  </si>
  <si>
    <t>Customer safety messages override commercial communications.</t>
  </si>
  <si>
    <t>Earliest event time</t>
  </si>
  <si>
    <t>Retention risk takes precedence over growth offers.</t>
  </si>
  <si>
    <t>Highest churn risk</t>
  </si>
  <si>
    <t>Preventive renewal activity precedes cross-sell and up-sell.</t>
  </si>
  <si>
    <t>Nearest contract end date</t>
  </si>
  <si>
    <t>Existing-customer bundle expansion ranks above cross-sell.</t>
  </si>
  <si>
    <t>Highest expected value</t>
  </si>
  <si>
    <t>Cross-sell runs after higher urgency eligible treatments.</t>
  </si>
  <si>
    <t>CAMPAIGN CONFIGURATION WORKBOOK</t>
  </si>
  <si>
    <t>Propositions, treatments, eligibility controls, channel metadata, and reporting mappings.</t>
  </si>
  <si>
    <t>SHEET</t>
  </si>
  <si>
    <t>PURPOSE</t>
  </si>
  <si>
    <t>Proposition</t>
  </si>
  <si>
    <t>Master offer and business configuration.</t>
  </si>
  <si>
    <t>Treatment</t>
  </si>
  <si>
    <t>Channel treatments and creative content mapped to offers.</t>
  </si>
  <si>
    <t>Suppression Rule</t>
  </si>
  <si>
    <t>Customer eligibility exclusions.</t>
  </si>
  <si>
    <t>Contact Policy</t>
  </si>
  <si>
    <t>Cross-channel communication limits.</t>
  </si>
  <si>
    <t>Contact Rule</t>
  </si>
  <si>
    <t>Detailed rules implementing contact policies.</t>
  </si>
  <si>
    <t>Control Group</t>
  </si>
  <si>
    <t>Experiment holdout definitions.</t>
  </si>
  <si>
    <t>Recurring and triggered execution cadences.</t>
  </si>
  <si>
    <t>Volume Constraint</t>
  </si>
  <si>
    <t>Operational channel capacities.</t>
  </si>
  <si>
    <t>Email Metadata</t>
  </si>
  <si>
    <t>Email delivery configuration.</t>
  </si>
  <si>
    <t>SMS Metadata</t>
  </si>
  <si>
    <t>SMS delivery configuration.</t>
  </si>
  <si>
    <t>Letter Metadata</t>
  </si>
  <si>
    <t>Letter fulfilment configuration.</t>
  </si>
  <si>
    <t>Dialer Metadata</t>
  </si>
  <si>
    <t>Outbound dialer configuration.</t>
  </si>
  <si>
    <t>Response Table</t>
  </si>
  <si>
    <t>Treatment response event definitions.</t>
  </si>
  <si>
    <t>Prioritization Table</t>
  </si>
  <si>
    <t>Treatment conflict-resolution order.</t>
  </si>
  <si>
    <t>Reporting Table</t>
  </si>
  <si>
    <t>OFFER REPORT CATALOGUE</t>
  </si>
  <si>
    <t>Daily channel-report definitions for every offer; this catalogue specifies what to calculate when event data is available.</t>
  </si>
  <si>
    <t>Report_ID</t>
  </si>
  <si>
    <t>Report_Frequency</t>
  </si>
  <si>
    <t>Metric_Definition</t>
  </si>
  <si>
    <t>RPT001</t>
  </si>
  <si>
    <t>Contacts Attempted</t>
  </si>
  <si>
    <t>Count of outbound dialer attempts initiated.</t>
  </si>
  <si>
    <t>RPT002</t>
  </si>
  <si>
    <t>Calls Connected</t>
  </si>
  <si>
    <t>Count of attempts connected to the intended customer.</t>
  </si>
  <si>
    <t>RPT003</t>
  </si>
  <si>
    <t>Responses</t>
  </si>
  <si>
    <t>Count of recorded customer responses following a connected call.</t>
  </si>
  <si>
    <t>RPT004</t>
  </si>
  <si>
    <t>Conversions</t>
  </si>
  <si>
    <t>Count of customers who accepted the winback offer within 7 days.</t>
  </si>
  <si>
    <t>RPT005</t>
  </si>
  <si>
    <t>Failed or No Answer</t>
  </si>
  <si>
    <t>Count of attempts resulting in failure, busy, or no answer.</t>
  </si>
  <si>
    <t>RPT006</t>
  </si>
  <si>
    <t>Opt-outs</t>
  </si>
  <si>
    <t>Count of customers requesting no further marketing contact.</t>
  </si>
  <si>
    <t>RPT007</t>
  </si>
  <si>
    <t>Total dialer treatment cost for attempted contacts.</t>
  </si>
  <si>
    <t>RPT008</t>
  </si>
  <si>
    <t>Emails Sent</t>
  </si>
  <si>
    <t>Count of prevention emails submitted for delivery.</t>
  </si>
  <si>
    <t>RPT009</t>
  </si>
  <si>
    <t>Emails Delivered</t>
  </si>
  <si>
    <t>Count of emails accepted by the recipient mail server.</t>
  </si>
  <si>
    <t>RPT010</t>
  </si>
  <si>
    <t>Unique Opens</t>
  </si>
  <si>
    <t>Distinct recipients who opened the email.</t>
  </si>
  <si>
    <t>RPT011</t>
  </si>
  <si>
    <t>Unique Clicks</t>
  </si>
  <si>
    <t>Distinct recipients who clicked a tracked link.</t>
  </si>
  <si>
    <t>RPT012</t>
  </si>
  <si>
    <t>Count of attributed customer responses.</t>
  </si>
  <si>
    <t>RPT013</t>
  </si>
  <si>
    <t>Count of prolongations completed within 14 days.</t>
  </si>
  <si>
    <t>RPT014</t>
  </si>
  <si>
    <t>Bounces</t>
  </si>
  <si>
    <t>Count of hard and soft email bounces.</t>
  </si>
  <si>
    <t>RPT015</t>
  </si>
  <si>
    <t>Count of recipients who unsubscribed.</t>
  </si>
  <si>
    <t>RPT016</t>
  </si>
  <si>
    <t>Total email treatment cost for sent emails.</t>
  </si>
  <si>
    <t>RPT017</t>
  </si>
  <si>
    <t>Count of cross-sell emails submitted for delivery.</t>
  </si>
  <si>
    <t>RPT018</t>
  </si>
  <si>
    <t>RPT019</t>
  </si>
  <si>
    <t>RPT020</t>
  </si>
  <si>
    <t>RPT021</t>
  </si>
  <si>
    <t>RPT022</t>
  </si>
  <si>
    <t>Count of fixed-internet orders completed within 14 days.</t>
  </si>
  <si>
    <t>RPT023</t>
  </si>
  <si>
    <t>RPT024</t>
  </si>
  <si>
    <t>RPT025</t>
  </si>
  <si>
    <t>RPT026</t>
  </si>
  <si>
    <t>Letters Released</t>
  </si>
  <si>
    <t>Count of letters released to fulfilment.</t>
  </si>
  <si>
    <t>RPT027</t>
  </si>
  <si>
    <t>Letters Delivered</t>
  </si>
  <si>
    <t>Count of letters confirmed as delivered where tracking is available.</t>
  </si>
  <si>
    <t>RPT028</t>
  </si>
  <si>
    <t>RPT029</t>
  </si>
  <si>
    <t>Count of bundle orders completed within 30 days.</t>
  </si>
  <si>
    <t>RPT030</t>
  </si>
  <si>
    <t>Returned Mail</t>
  </si>
  <si>
    <t>Count of letters returned as undeliverable.</t>
  </si>
  <si>
    <t>RPT031</t>
  </si>
  <si>
    <t>RPT032</t>
  </si>
  <si>
    <t>Total letter treatment cost for released letters.</t>
  </si>
  <si>
    <t>RPT033</t>
  </si>
  <si>
    <t>Messages Sent</t>
  </si>
  <si>
    <t>Count of emergency SMS messages submitted to the gateway.</t>
  </si>
  <si>
    <t>RPT034</t>
  </si>
  <si>
    <t>Messages Delivered</t>
  </si>
  <si>
    <t>Count of SMS messages confirmed as delivered.</t>
  </si>
  <si>
    <t>RPT035</t>
  </si>
  <si>
    <t>Count of inbound responses attributed to the alert.</t>
  </si>
  <si>
    <t>RPT036</t>
  </si>
  <si>
    <t>Count of defined positive safety actions, when captured.</t>
  </si>
  <si>
    <t>RPT037</t>
  </si>
  <si>
    <t>Delivery Failures</t>
  </si>
  <si>
    <t>Count of rejected, expired, or undeliverable messages.</t>
  </si>
  <si>
    <t>RPT038</t>
  </si>
  <si>
    <t>Count of recipients opting out where legally applicable.</t>
  </si>
  <si>
    <t>RPT039</t>
  </si>
  <si>
    <t>Total SMS treatment cost for sent messages.</t>
  </si>
  <si>
    <t>Offer-level catalogue of daily channel metrics and report definitions.</t>
  </si>
  <si>
    <t>Calculation_Spec</t>
  </si>
  <si>
    <t>COUNT of Dialer attempt using Attempt timestamp; break down by Date, offer, treatment, channel.</t>
  </si>
  <si>
    <t>COUNT of Connected call using Connection timestamp; break down by Date, offer, treatment, channel.</t>
  </si>
  <si>
    <t>COUNT of Response recorded using Response timestamp; break down by Date, offer, treatment, response.</t>
  </si>
  <si>
    <t>COUNT DISTINCT of Offer accepted using Conversion timestamp; break down by Date, offer, treatment.</t>
  </si>
  <si>
    <t>COUNT of Failed/no-answer call using Attempt timestamp; break down by Date, offer, treatment, failure reason.</t>
  </si>
  <si>
    <t>COUNT DISTINCT of Opt-out recorded using Opt-out timestamp; break down by Date, offer, treatment.</t>
  </si>
  <si>
    <t>SUM of Dialer attempt using Attempt timestamp; break down by Date, offer, treatment, channel.</t>
  </si>
  <si>
    <t>COUNT of Email sent using Send timestamp; break down by Date, offer, treatment, channel.</t>
  </si>
  <si>
    <t>COUNT of Email delivered using Delivery timestamp; break down by Date, offer, treatment, channel.</t>
  </si>
  <si>
    <t>COUNT DISTINCT of Email opened using Open timestamp; break down by Date, offer, treatment.</t>
  </si>
  <si>
    <t>COUNT DISTINCT of Email clicked using Click timestamp; break down by Date, offer, treatment.</t>
  </si>
  <si>
    <t>COUNT DISTINCT of Prolongation completed using Conversion timestamp; break down by Date, offer, treatment.</t>
  </si>
  <si>
    <t>COUNT of Email bounced using Bounce timestamp; break down by Date, offer, treatment, bounce type.</t>
  </si>
  <si>
    <t>COUNT DISTINCT of Unsubscribe recorded using Opt-out timestamp; break down by Date, offer, treatment.</t>
  </si>
  <si>
    <t>SUM of Email sent using Send timestamp; break down by Date, offer, treatment, channel.</t>
  </si>
  <si>
    <t>COUNT DISTINCT of Fixed internet ordered using Conversion timestamp; break down by Date, offer, treatment.</t>
  </si>
  <si>
    <t>COUNT of Letter released using Release timestamp; break down by Date, offer, treatment, channel.</t>
  </si>
  <si>
    <t>COUNT of Letter delivered using Delivery timestamp; break down by Date, offer, treatment, channel.</t>
  </si>
  <si>
    <t>COUNT DISTINCT of Bundle ordered using Conversion timestamp; break down by Date, offer, treatment.</t>
  </si>
  <si>
    <t>COUNT of Letter returned using Return timestamp; break down by Date, offer, treatment, return reason.</t>
  </si>
  <si>
    <t>SUM of Letter released using Release timestamp; break down by Date, offer, treatment, channel.</t>
  </si>
  <si>
    <t>COUNT of SMS sent using Send timestamp; break down by Date, offer, treatment, channel.</t>
  </si>
  <si>
    <t>COUNT of SMS delivered using Delivery timestamp; break down by Date, offer, treatment, channel.</t>
  </si>
  <si>
    <t>COUNT of SMS response using Response timestamp; break down by Date, offer, treatment, response.</t>
  </si>
  <si>
    <t>COUNT DISTINCT of Positive action recorded using Conversion timestamp; break down by Date, offer, treatment.</t>
  </si>
  <si>
    <t>COUNT of SMS failed using Failure timestamp; break down by Date, offer, treatment, failure reason.</t>
  </si>
  <si>
    <t>SUM of SMS sent using Send timestamp; break down by Date, offer, treatment, channel.</t>
  </si>
  <si>
    <t>Report_Metric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</si>
</sst>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[$€-2]\ * #,##0.00_);_([$€-2]\ * \(#,##0.00\);_([$€-2]\ * &quot;-&quot;??_);_(@_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i/>
      <sz val="10"/>
      <color rgb="FF666666"/>
      <name val="Aptos Narrow"/>
      <family val="2"/>
      <scheme val="minor"/>
    </font>
    <font>
      <b/>
      <sz val="20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4" fontId="0" fillId="0" borderId="0" xfId="0" applyNumberFormat="1"/>
    <xf numFmtId="168" fontId="0" fillId="0" borderId="0" xfId="0" applyNumberFormat="1"/>
    <xf numFmtId="0" fontId="2" fillId="0" borderId="0" xfId="1"/>
    <xf numFmtId="0" fontId="0" fillId="0" borderId="0" xfId="0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0" fontId="7" fillId="2" borderId="0" xfId="0" applyFont="1" applyFill="1"/>
    <xf numFmtId="0" fontId="3" fillId="3" borderId="0" xfId="0" applyFont="1" applyFill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128">
    <dxf>
      <numFmt numFmtId="0" formatCode="General"/>
      <alignment vertical="center" wrapText="0"/>
    </dxf>
    <dxf>
      <alignment vertical="center"/>
    </dxf>
    <dxf>
      <alignment vertical="center"/>
    </dxf>
    <dxf>
      <alignment vertical="center"/>
    </dxf>
    <dxf>
      <alignment vertical="center" wrapText="1"/>
    </dxf>
    <dxf>
      <alignment vertical="center"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 wrapText="1"/>
    </dxf>
    <dxf>
      <numFmt numFmtId="3" formatCode="#,##0"/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 wrapText="1"/>
    </dxf>
    <dxf>
      <numFmt numFmtId="13" formatCode="0%"/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 wrapText="1"/>
    </dxf>
    <dxf>
      <alignment vertical="center"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 wrapText="1"/>
    </dxf>
    <dxf>
      <alignment vertical="center"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808C32-50BB-4428-98E3-58F087BDD843}" name="Table1" displayName="Table1" ref="A1:N6" totalsRowShown="0" headerRowDxfId="126">
  <autoFilter ref="A1:N6" xr:uid="{26808C32-50BB-4428-98E3-58F087BDD843}"/>
  <tableColumns count="14">
    <tableColumn id="1" xr3:uid="{6467B006-F6C0-4F4E-BC47-FB768070D832}" name="Business_Issue"/>
    <tableColumn id="2" xr3:uid="{FFE6F97E-D79E-450C-89C4-639ECB872CE4}" name="Business_Group"/>
    <tableColumn id="3" xr3:uid="{DF555B37-269A-4132-858B-5102130B350A}" name="Offer_Identifier"/>
    <tableColumn id="4" xr3:uid="{C3E33A51-FFD9-4562-905A-EAB1827970D8}" name="Offer_Name"/>
    <tableColumn id="5" xr3:uid="{1A268635-D332-4E39-AC9E-E98A8EB297F1}" name="Is_Active"/>
    <tableColumn id="6" xr3:uid="{5ABAC300-2AA7-4068-B130-C7C77E4E2325}" name="Start_Date" dataDxfId="127"/>
    <tableColumn id="7" xr3:uid="{5B8785B5-2C57-4015-946D-B0792564D466}" name="End_Date"/>
    <tableColumn id="8" xr3:uid="{64E513E1-1A54-4381-9E2B-96302B2123A0}" name="Cost"/>
    <tableColumn id="9" xr3:uid="{DC844C39-E5BF-4493-AD04-6A3FEAC93452}" name="Suppresion_Rule"/>
    <tableColumn id="10" xr3:uid="{E61A220D-B8CE-4334-B3B5-32A21E4F662C}" name="Contact_Policy"/>
    <tableColumn id="11" xr3:uid="{CF6EC2EB-3C32-469D-ADE5-B5490BB0F82A}" name="Control_Group"/>
    <tableColumn id="12" xr3:uid="{C7EDE9A1-1151-40AD-B200-AB7CCCAC6689}" name="Frequency"/>
    <tableColumn id="13" xr3:uid="{19BD8BCC-85C0-4A8D-97A6-27E00ED05E12}" name="Volume_Constraint"/>
    <tableColumn id="14" xr3:uid="{678A4709-90C9-4D8B-A448-1BC0209EA81C}" name="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D7D9B6-6F7B-47AF-B6D6-9B0E78E47DE6}" name="SuppressionRulesTbl" displayName="SuppressionRulesTbl" ref="A4:G7" totalsRowShown="0" headerRowDxfId="120" dataDxfId="119">
  <autoFilter ref="A4:G7" xr:uid="{75D7D9B6-6F7B-47AF-B6D6-9B0E78E47DE6}"/>
  <tableColumns count="7">
    <tableColumn id="1" xr3:uid="{16EBF266-D234-4F9C-ACA3-FE1D14035170}" name="Rule_ID" dataDxfId="125"/>
    <tableColumn id="2" xr3:uid="{35A63634-C398-415C-B2D0-FB6E3FAD3186}" name="Rule_Name" dataDxfId="124"/>
    <tableColumn id="3" xr3:uid="{95535D12-61C4-4214-8AD7-4571C45BE729}" name="Description" dataDxfId="118"/>
    <tableColumn id="4" xr3:uid="{18A26BBB-BF66-4C0B-8B98-BB9365C23E38}" name="Scope" dataDxfId="123"/>
    <tableColumn id="5" xr3:uid="{CE3145F1-4167-4A68-A512-5A7D6E781035}" name="Condition" dataDxfId="117"/>
    <tableColumn id="6" xr3:uid="{A78F52C3-3A57-48C0-A47D-842D8B162234}" name="Lookback_Days" dataDxfId="122"/>
    <tableColumn id="7" xr3:uid="{D662EE07-B324-4666-AEF4-476CDA4AB1A0}" name="Is_Active" dataDxfId="1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D0DDAA-7082-4AB6-A6DF-A1A13AC8BAF5}" name="ContactPoliciesTbl" displayName="ContactPoliciesTbl" ref="A4:H5" totalsRowShown="0" headerRowDxfId="110" dataDxfId="109">
  <autoFilter ref="A4:H5" xr:uid="{27D0DDAA-7082-4AB6-A6DF-A1A13AC8BAF5}"/>
  <tableColumns count="8">
    <tableColumn id="1" xr3:uid="{9D36C5EE-AE82-46AD-8002-B0FD1B9A12F1}" name="Policy_ID" dataDxfId="116"/>
    <tableColumn id="2" xr3:uid="{0140A703-D4E7-4F09-A96D-BA5DE8E2042D}" name="Policy_Name" dataDxfId="115"/>
    <tableColumn id="3" xr3:uid="{A08A77EF-10F1-4A6D-8DBE-163161991FC4}" name="Description" dataDxfId="108"/>
    <tableColumn id="4" xr3:uid="{6A81D0DB-40A9-40F0-AF0F-A5C314CAFE91}" name="Max_Contacts" dataDxfId="114"/>
    <tableColumn id="5" xr3:uid="{978F95FE-6B1F-4890-AFB6-82FDED818B7D}" name="Period_Days" dataDxfId="113"/>
    <tableColumn id="6" xr3:uid="{EA911772-18F4-4B4A-846F-7C0AD6E4DDDA}" name="Applies_To" dataDxfId="112"/>
    <tableColumn id="7" xr3:uid="{2C0AC25A-4786-409C-A643-1E3544FA25C0}" name="Priority_Behavior" dataDxfId="107"/>
    <tableColumn id="8" xr3:uid="{48142840-524A-4AA1-917A-823023CB167E}" name="Is_Active" dataDxfId="1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E9B97E-E0DC-49B2-860B-4CD66263233D}" name="ContactRulesTbl" displayName="ContactRulesTbl" ref="A4:H8" totalsRowShown="0" headerRowDxfId="99" dataDxfId="98">
  <autoFilter ref="A4:H8" xr:uid="{4CE9B97E-E0DC-49B2-860B-4CD66263233D}"/>
  <tableColumns count="8">
    <tableColumn id="1" xr3:uid="{85B8A700-4714-462B-B4F3-DB74CC5CB31B}" name="Rule_ID" dataDxfId="106"/>
    <tableColumn id="2" xr3:uid="{FC954C41-E6A3-40DA-9B12-9A54B6D268FC}" name="Policy_ID" dataDxfId="105"/>
    <tableColumn id="3" xr3:uid="{A76E53BA-B03D-48A3-A969-84C5B8398E3A}" name="Channel" dataDxfId="104"/>
    <tableColumn id="4" xr3:uid="{80FCD15F-2889-47E8-876E-78D779EC415E}" name="Max_Contacts" dataDxfId="103"/>
    <tableColumn id="5" xr3:uid="{D409BCB3-7313-4A8D-B1D7-7824E1DC6422}" name="Period_Days" dataDxfId="102"/>
    <tableColumn id="6" xr3:uid="{2E90A3F2-4198-43A6-904C-5B785DFBC14D}" name="Cooldown_Hours" dataDxfId="101"/>
    <tableColumn id="7" xr3:uid="{69D8D04C-F9C5-40C6-9AFE-8065C852B4F8}" name="Rule_Description" dataDxfId="97"/>
    <tableColumn id="8" xr3:uid="{052EBC3C-94C3-4914-AE0A-4E80408F10EB}" name="Is_Active" dataDxfId="10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BA16A4-CAE1-48AF-B0D8-B4CC2A5F0422}" name="ControlGroupsTbl" displayName="ControlGroupsTbl" ref="A4:G5" totalsRowShown="0" headerRowDxfId="91" dataDxfId="90">
  <autoFilter ref="A4:G5" xr:uid="{F9BA16A4-CAE1-48AF-B0D8-B4CC2A5F0422}"/>
  <tableColumns count="7">
    <tableColumn id="1" xr3:uid="{4B1E9032-EF88-409B-A33F-1B260BA91823}" name="Control_Group_ID" dataDxfId="96"/>
    <tableColumn id="2" xr3:uid="{E2D7A1AC-9F22-4F42-985A-C5189CA5D8C6}" name="Control_Group_Name" dataDxfId="95"/>
    <tableColumn id="3" xr3:uid="{1D719B56-E469-4966-A267-D3876559559F}" name="Description" dataDxfId="88"/>
    <tableColumn id="4" xr3:uid="{44EA8645-9694-4D0F-B635-0F88DCDE67F3}" name="Allocation_Percent" dataDxfId="89"/>
    <tableColumn id="5" xr3:uid="{E8DFB0B4-0063-4830-89D7-420B18075EC7}" name="Selection_Method" dataDxfId="94"/>
    <tableColumn id="6" xr3:uid="{0F491260-A905-4795-BAA8-C02E6682A558}" name="Reassignment_Period_Days" dataDxfId="93"/>
    <tableColumn id="7" xr3:uid="{1C0CFEDA-891C-48B1-AF74-36B6B63F8BEF}" name="Is_Active" dataDxfId="9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3B46D8-3793-4B82-84AD-DAF41890BC96}" name="FrequenciesTbl" displayName="FrequenciesTbl" ref="A4:G6" totalsRowShown="0" headerRowDxfId="81" dataDxfId="80">
  <autoFilter ref="A4:G6" xr:uid="{5F3B46D8-3793-4B82-84AD-DAF41890BC96}"/>
  <tableColumns count="7">
    <tableColumn id="1" xr3:uid="{91D433D1-FF62-4B9A-A169-8BE675A95DEB}" name="Frequency_ID" dataDxfId="87"/>
    <tableColumn id="2" xr3:uid="{DEE1AA59-EDE3-4485-9083-79F33B3BB576}" name="Frequency_Name" dataDxfId="86"/>
    <tableColumn id="3" xr3:uid="{649D7276-2DB3-4ACE-A24E-E97C50D3DACA}" name="Description" dataDxfId="79"/>
    <tableColumn id="4" xr3:uid="{A4F4FEF4-F082-4A79-BF19-1A62A2BE518B}" name="Interval_Unit" dataDxfId="85"/>
    <tableColumn id="5" xr3:uid="{AB404BA0-2E2D-4D09-BBEC-EABD9A3292DD}" name="Interval_Value" dataDxfId="84"/>
    <tableColumn id="6" xr3:uid="{3C727F02-22E1-4F2E-A71B-CAF9167DE01D}" name="Schedule_Type" dataDxfId="83"/>
    <tableColumn id="7" xr3:uid="{C67AE17D-4A7E-41A8-A747-99EB4304DA1A}" name="Is_Active" dataDxfId="8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C0251D7-8EC1-4D35-B7D2-A1B1BBD0BA92}" name="VolumeConstraintsTbl" displayName="VolumeConstraintsTbl" ref="A4:G8" totalsRowShown="0" headerRowDxfId="73" dataDxfId="72">
  <autoFilter ref="A4:G8" xr:uid="{1C0251D7-8EC1-4D35-B7D2-A1B1BBD0BA92}"/>
  <tableColumns count="7">
    <tableColumn id="1" xr3:uid="{38A23A20-A74C-4922-AB07-7ADD8DAEBC41}" name="Constraint_ID" dataDxfId="78"/>
    <tableColumn id="2" xr3:uid="{3B3629BE-D8D0-412A-A3BA-425A71D844FC}" name="Constraint_Name" dataDxfId="77"/>
    <tableColumn id="3" xr3:uid="{B5CE3D42-46E8-4B58-9096-CF2879126832}" name="Channel" dataDxfId="76"/>
    <tableColumn id="4" xr3:uid="{0A9B3654-27E9-499F-AC9D-E0FBE060F174}" name="Max_Volume" dataDxfId="71"/>
    <tableColumn id="5" xr3:uid="{4C96BBB3-5237-4D18-BC2B-31A6D853D0FF}" name="Period" dataDxfId="75"/>
    <tableColumn id="6" xr3:uid="{E8094167-D016-46BC-9066-35D22E358D09}" name="Description" dataDxfId="70"/>
    <tableColumn id="7" xr3:uid="{96A2C683-7CE4-431E-BBB4-6BC2FFEB7ACF}" name="Is_Active" dataDxfId="7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7ED50D9-24AF-4717-B1F2-AFC06A0CBDDC}" name="EmailMetadataTbl" displayName="EmailMetadataTbl" ref="A4:I6" totalsRowShown="0" headerRowDxfId="60" dataDxfId="59">
  <autoFilter ref="A4:I6" xr:uid="{97ED50D9-24AF-4717-B1F2-AFC06A0CBDDC}"/>
  <tableColumns count="9">
    <tableColumn id="1" xr3:uid="{DADB5D06-1B91-4D32-B26A-E199BFE186F5}" name="Treatment_Name" dataDxfId="69"/>
    <tableColumn id="2" xr3:uid="{63359C7F-127B-463C-8E8C-E8961895FF1B}" name="Sender_Name" dataDxfId="68"/>
    <tableColumn id="3" xr3:uid="{E53A1F8B-7186-42C1-AFAD-80FA5CFA5B24}" name="Sender_Email" dataDxfId="67"/>
    <tableColumn id="4" xr3:uid="{6950683A-6F2B-4C4A-B38B-3A47ED5FAC97}" name="Reply_To_Email" dataDxfId="66"/>
    <tableColumn id="5" xr3:uid="{9DC842B6-B686-47A0-AF45-B5A12316680D}" name="Content_Type" dataDxfId="65"/>
    <tableColumn id="6" xr3:uid="{58CA02A2-B747-4A33-A0E7-2B09BD35FFD7}" name="Track_Opens" dataDxfId="64"/>
    <tableColumn id="7" xr3:uid="{33809305-D779-42F6-9487-11DE5613AE99}" name="Track_Clicks" dataDxfId="63"/>
    <tableColumn id="8" xr3:uid="{022A4570-5596-4687-A1FF-3D6CCB42DA00}" name="Unsubscribe_Required" dataDxfId="62"/>
    <tableColumn id="9" xr3:uid="{F32DCF06-B807-460B-8618-1E73F9CFE270}" name="Is_Active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50B294E-1C6E-45B5-9B8E-549B26F8CCE9}" name="SMSMetadataTbl" displayName="SMSMetadataTbl" ref="A4:H5" totalsRowShown="0" headerRowDxfId="50" dataDxfId="49">
  <autoFilter ref="A4:H5" xr:uid="{250B294E-1C6E-45B5-9B8E-549B26F8CCE9}"/>
  <tableColumns count="8">
    <tableColumn id="1" xr3:uid="{9B6419F7-0DB5-4025-AC41-0FE73D041E71}" name="Treatment_Name" dataDxfId="58"/>
    <tableColumn id="2" xr3:uid="{613BEE72-19A7-4B7C-B2E2-59ED60D11B39}" name="Sender_ID" dataDxfId="57"/>
    <tableColumn id="3" xr3:uid="{C030E7C2-FF81-47EC-B064-B31AAA8201C5}" name="Message_Type" dataDxfId="56"/>
    <tableColumn id="4" xr3:uid="{503377B1-3CAE-4343-B550-A5C85372EEEB}" name="Encoding" dataDxfId="55"/>
    <tableColumn id="5" xr3:uid="{AAC3613A-CE53-4B6A-A6BC-2416A7A41436}" name="Max_Segments" dataDxfId="54"/>
    <tableColumn id="6" xr3:uid="{FC1D8963-F135-4B4D-A05B-DE4F7F5368E5}" name="Delivery_Receipt" dataDxfId="53"/>
    <tableColumn id="7" xr3:uid="{14E1262B-A9B7-42AC-9A09-8C9F6F7966B4}" name="Opt_Out_Required" dataDxfId="52"/>
    <tableColumn id="8" xr3:uid="{0F942609-0CE7-4FB5-9972-E2936CBEEFB9}" name="Is_Active" dataDxfId="5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3BD8C7A-626D-4121-96E3-1310E4B8EAF6}" name="LetterMetadataTbl" displayName="LetterMetadataTbl" ref="A4:H5" totalsRowShown="0" headerRowDxfId="40" dataDxfId="39">
  <autoFilter ref="A4:H5" xr:uid="{13BD8C7A-626D-4121-96E3-1310E4B8EAF6}"/>
  <tableColumns count="8">
    <tableColumn id="1" xr3:uid="{FB1B67B4-C6D7-4FDA-9BC2-AAB6FE87475A}" name="Treatment_Name" dataDxfId="48"/>
    <tableColumn id="2" xr3:uid="{3BDFB3CC-B495-495F-9E17-EF1044691152}" name="Template_ID" dataDxfId="47"/>
    <tableColumn id="3" xr3:uid="{150A7576-495C-4675-A7D8-52804233BD85}" name="Paper_Size" dataDxfId="46"/>
    <tableColumn id="4" xr3:uid="{D4EAE75C-4D36-4004-839E-EF2165B93312}" name="Color_Mode" dataDxfId="45"/>
    <tableColumn id="5" xr3:uid="{70705341-38EC-4C2A-9994-E32F1DC3B978}" name="Duplex" dataDxfId="44"/>
    <tableColumn id="6" xr3:uid="{4CA92FC0-0CD6-4987-A910-D535A48AFA83}" name="Envelope_Type" dataDxfId="43"/>
    <tableColumn id="7" xr3:uid="{891758BB-89D0-4D05-A786-85FDF577926C}" name="Postage_Class" dataDxfId="42"/>
    <tableColumn id="8" xr3:uid="{6BFBADC4-5756-4F90-A6CE-E6E44A8F28C0}" name="Is_Active" dataDxfId="4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6464DA4-286E-4B67-8ABE-A9BEB47C2004}" name="DialerMetadataTbl" displayName="DialerMetadataTbl" ref="A4:H5" totalsRowShown="0" headerRowDxfId="30" dataDxfId="29">
  <autoFilter ref="A4:H5" xr:uid="{B6464DA4-286E-4B67-8ABE-A9BEB47C2004}"/>
  <tableColumns count="8">
    <tableColumn id="1" xr3:uid="{F6F18478-1D33-48C9-A4F2-F0E9CD9F9CB3}" name="Treatment_Name" dataDxfId="38"/>
    <tableColumn id="2" xr3:uid="{F81AEB92-4B69-4454-A88C-F6D6D65ACBC2}" name="Dialer_Queue" dataDxfId="37"/>
    <tableColumn id="3" xr3:uid="{6BAF2E36-8970-40AC-BA21-8321A3DF14CC}" name="Script_ID" dataDxfId="36"/>
    <tableColumn id="4" xr3:uid="{AC94CA4A-6288-4F4C-AD64-3C4D80916A4C}" name="Max_Attempts" dataDxfId="35"/>
    <tableColumn id="5" xr3:uid="{88330C88-939D-4D46-907F-D5705E49F0FA}" name="Retry_Interval_Hours" dataDxfId="34"/>
    <tableColumn id="6" xr3:uid="{D10D94EE-86D0-4006-BDF9-9E12FDFC1D53}" name="Calling_Window" dataDxfId="33"/>
    <tableColumn id="7" xr3:uid="{A1C5D436-28ED-4F89-8E29-4B7E7CC451EF}" name="Record_Calls" dataDxfId="32"/>
    <tableColumn id="8" xr3:uid="{F95299CF-C270-4C9E-8215-0D144E522943}" name="Is_Active" dataDxfId="3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67B480-8522-46A2-B427-6DCDC58ADCC2}" name="ResponseDefinitionsTbl" displayName="ResponseDefinitionsTbl" ref="A4:G14" totalsRowShown="0" headerRowDxfId="21" dataDxfId="20">
  <autoFilter ref="A4:G14" xr:uid="{AA67B480-8522-46A2-B427-6DCDC58ADCC2}"/>
  <tableColumns count="7">
    <tableColumn id="1" xr3:uid="{2E5DF6C0-5D25-43A1-86C7-B68F924932C7}" name="Response_Code" dataDxfId="28"/>
    <tableColumn id="2" xr3:uid="{2EDCB7F6-1CD0-4013-A2BF-D1D825976B00}" name="Treatment_Name" dataDxfId="27"/>
    <tableColumn id="3" xr3:uid="{86FFA5F6-A59C-4462-BEC4-E94C91E682E7}" name="Channel" dataDxfId="26"/>
    <tableColumn id="4" xr3:uid="{913EAF17-88D2-42A8-8FFB-89B046CF0CEF}" name="Response_Name" dataDxfId="25"/>
    <tableColumn id="5" xr3:uid="{77C49F48-C399-48B7-993F-47B75648B264}" name="Is_Positive" dataDxfId="24"/>
    <tableColumn id="6" xr3:uid="{643CD97B-7AF4-4DF3-932E-50C0B6D69143}" name="Attribution_Window_Days" dataDxfId="23"/>
    <tableColumn id="7" xr3:uid="{BAE9C4B8-F426-4C61-A41E-23568F6F9A8E}" name="Is_Terminal" dataDxfId="2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08B6C71-243C-4F57-88AB-5273F8F04B77}" name="PrioritizationTbl" displayName="PrioritizationTbl" ref="A4:G9" totalsRowShown="0" headerRowDxfId="13" dataDxfId="12">
  <autoFilter ref="A4:G9" xr:uid="{B08B6C71-243C-4F57-88AB-5273F8F04B77}"/>
  <tableColumns count="7">
    <tableColumn id="1" xr3:uid="{BA77F6E7-EE07-4E53-8B3D-12CB2F40EEBA}" name="Priority_Rank" dataDxfId="19"/>
    <tableColumn id="2" xr3:uid="{87E87E37-3345-4DCA-A61D-4FC03CB7C5B1}" name="Offer_Identifier" dataDxfId="18"/>
    <tableColumn id="3" xr3:uid="{98961793-03F1-4AB2-BCBB-BA3CE1D1061B}" name="Treatment_Name" dataDxfId="17"/>
    <tableColumn id="4" xr3:uid="{E9C61692-9AA5-4844-8D6F-4846342B0C6F}" name="Business_Issue" dataDxfId="16"/>
    <tableColumn id="5" xr3:uid="{4AFBCB9A-D9DC-4C5C-ABDC-6444359DAE53}" name="Priority_Reason" dataDxfId="11"/>
    <tableColumn id="6" xr3:uid="{D457EA88-1FDD-4298-8CF3-64120518C406}" name="Tie_Breaker" dataDxfId="15"/>
    <tableColumn id="7" xr3:uid="{B55BABC0-441E-42D7-8198-19D3C43AD240}" name="Is_Active" dataDxfId="1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EBFBBDF-E04F-48E2-A600-26EF66D58FDF}" name="OfferReportCatalogueTbl" displayName="OfferReportCatalogueTbl" ref="A4:I43" totalsRowShown="0" headerRowDxfId="2" dataDxfId="1">
  <autoFilter ref="A4:I43" xr:uid="{FEBFBBDF-E04F-48E2-A600-26EF66D58FDF}"/>
  <tableColumns count="9">
    <tableColumn id="1" xr3:uid="{3E1DF5E1-BB5B-495B-A759-85BADFA13B73}" name="Report_ID" dataDxfId="10"/>
    <tableColumn id="2" xr3:uid="{A1BF7D45-92EA-47A3-A483-C9773D13B8D6}" name="Offer_Identifier" dataDxfId="9"/>
    <tableColumn id="3" xr3:uid="{24D80B60-38C1-4D59-9A79-17590A997A73}" name="Treatment_Name" dataDxfId="8">
      <calculatedColumnFormula>INDEX(Treatment!$A$5:$A$9,MATCH(B5,Treatment!$M$5:$M$9,0))</calculatedColumnFormula>
    </tableColumn>
    <tableColumn id="4" xr3:uid="{47EBBEA1-4CB9-481A-9D97-B2C72332DE37}" name="Channel" dataDxfId="7">
      <calculatedColumnFormula>INDEX(Treatment!$C$5:$C$9,MATCH(C5,Treatment!$A$5:$A$9,0))</calculatedColumnFormula>
    </tableColumn>
    <tableColumn id="5" xr3:uid="{C575575F-4390-4889-A9C1-AF2C90D66D89}" name="Report_Frequency" dataDxfId="6"/>
    <tableColumn id="6" xr3:uid="{FE86E505-C083-4461-BEB2-8988AD08D2DA}" name="Report_Metric" dataDxfId="0"/>
    <tableColumn id="7" xr3:uid="{D1B058E4-D826-4C4E-AD7B-076DD266F454}" name="Metric_Definition" dataDxfId="5"/>
    <tableColumn id="8" xr3:uid="{11A6F001-B37A-4201-BDC7-F038FF5E6784}" name="Calculation_Spec" dataDxfId="4"/>
    <tableColumn id="9" xr3:uid="{6A0E7FD1-E037-430D-9C90-AADDD2233EB5}" name="Is_Activ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xyz.com/" TargetMode="External"/><Relationship Id="rId1" Type="http://schemas.openxmlformats.org/officeDocument/2006/relationships/hyperlink" Target="https://xyz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D4A3-16F5-456E-9472-125E529FCC13}">
  <dimension ref="A1:B19"/>
  <sheetViews>
    <sheetView workbookViewId="0">
      <selection sqref="A1:B1"/>
    </sheetView>
  </sheetViews>
  <sheetFormatPr defaultRowHeight="14.4" x14ac:dyDescent="0.3"/>
  <cols>
    <col min="1" max="1" width="37" customWidth="1"/>
    <col min="2" max="2" width="64.77734375" customWidth="1"/>
  </cols>
  <sheetData>
    <row r="1" spans="1:2" ht="48" customHeight="1" x14ac:dyDescent="0.5">
      <c r="A1" s="13" t="s">
        <v>242</v>
      </c>
      <c r="B1" s="5"/>
    </row>
    <row r="2" spans="1:2" x14ac:dyDescent="0.3">
      <c r="A2" s="7" t="s">
        <v>243</v>
      </c>
      <c r="B2" s="5"/>
    </row>
    <row r="4" spans="1:2" x14ac:dyDescent="0.3">
      <c r="A4" s="14" t="s">
        <v>244</v>
      </c>
      <c r="B4" s="14" t="s">
        <v>245</v>
      </c>
    </row>
    <row r="5" spans="1:2" x14ac:dyDescent="0.3">
      <c r="A5" t="s">
        <v>246</v>
      </c>
      <c r="B5" s="15" t="s">
        <v>247</v>
      </c>
    </row>
    <row r="6" spans="1:2" x14ac:dyDescent="0.3">
      <c r="A6" t="s">
        <v>248</v>
      </c>
      <c r="B6" s="15" t="s">
        <v>249</v>
      </c>
    </row>
    <row r="7" spans="1:2" x14ac:dyDescent="0.3">
      <c r="A7" t="s">
        <v>250</v>
      </c>
      <c r="B7" s="15" t="s">
        <v>251</v>
      </c>
    </row>
    <row r="8" spans="1:2" x14ac:dyDescent="0.3">
      <c r="A8" t="s">
        <v>252</v>
      </c>
      <c r="B8" s="15" t="s">
        <v>253</v>
      </c>
    </row>
    <row r="9" spans="1:2" x14ac:dyDescent="0.3">
      <c r="A9" t="s">
        <v>254</v>
      </c>
      <c r="B9" s="15" t="s">
        <v>255</v>
      </c>
    </row>
    <row r="10" spans="1:2" x14ac:dyDescent="0.3">
      <c r="A10" t="s">
        <v>256</v>
      </c>
      <c r="B10" s="15" t="s">
        <v>257</v>
      </c>
    </row>
    <row r="11" spans="1:2" x14ac:dyDescent="0.3">
      <c r="A11" t="s">
        <v>15</v>
      </c>
      <c r="B11" s="15" t="s">
        <v>258</v>
      </c>
    </row>
    <row r="12" spans="1:2" x14ac:dyDescent="0.3">
      <c r="A12" t="s">
        <v>259</v>
      </c>
      <c r="B12" s="15" t="s">
        <v>260</v>
      </c>
    </row>
    <row r="13" spans="1:2" x14ac:dyDescent="0.3">
      <c r="A13" t="s">
        <v>261</v>
      </c>
      <c r="B13" s="15" t="s">
        <v>262</v>
      </c>
    </row>
    <row r="14" spans="1:2" x14ac:dyDescent="0.3">
      <c r="A14" t="s">
        <v>263</v>
      </c>
      <c r="B14" s="15" t="s">
        <v>264</v>
      </c>
    </row>
    <row r="15" spans="1:2" x14ac:dyDescent="0.3">
      <c r="A15" t="s">
        <v>265</v>
      </c>
      <c r="B15" s="15" t="s">
        <v>266</v>
      </c>
    </row>
    <row r="16" spans="1:2" x14ac:dyDescent="0.3">
      <c r="A16" t="s">
        <v>267</v>
      </c>
      <c r="B16" s="15" t="s">
        <v>268</v>
      </c>
    </row>
    <row r="17" spans="1:2" x14ac:dyDescent="0.3">
      <c r="A17" t="s">
        <v>269</v>
      </c>
      <c r="B17" s="15" t="s">
        <v>270</v>
      </c>
    </row>
    <row r="18" spans="1:2" x14ac:dyDescent="0.3">
      <c r="A18" t="s">
        <v>271</v>
      </c>
      <c r="B18" s="15" t="s">
        <v>272</v>
      </c>
    </row>
    <row r="19" spans="1:2" x14ac:dyDescent="0.3">
      <c r="A19" t="s">
        <v>273</v>
      </c>
      <c r="B19" s="15" t="s">
        <v>365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6A2A-0AB5-4A4E-BEA5-C67D2FFEBAD3}">
  <dimension ref="A1:N6"/>
  <sheetViews>
    <sheetView workbookViewId="0">
      <selection activeCell="C2" sqref="C2:C6"/>
    </sheetView>
  </sheetViews>
  <sheetFormatPr defaultColWidth="13.44140625" defaultRowHeight="14.4" x14ac:dyDescent="0.3"/>
  <cols>
    <col min="1" max="1" width="15.33203125" customWidth="1"/>
    <col min="2" max="2" width="16.109375" customWidth="1"/>
    <col min="3" max="3" width="15.44140625" customWidth="1"/>
    <col min="4" max="4" width="21.5546875" bestFit="1" customWidth="1"/>
    <col min="5" max="5" width="10.33203125" customWidth="1"/>
    <col min="6" max="6" width="11.6640625" customWidth="1"/>
    <col min="7" max="7" width="10.6640625" customWidth="1"/>
    <col min="8" max="8" width="6.6640625" customWidth="1"/>
    <col min="9" max="9" width="16.77734375" customWidth="1"/>
    <col min="10" max="10" width="15.33203125" customWidth="1"/>
    <col min="11" max="11" width="14.88671875" customWidth="1"/>
    <col min="12" max="12" width="11.5546875" customWidth="1"/>
    <col min="13" max="13" width="18.6640625" customWidth="1"/>
    <col min="14" max="14" width="10.21875" customWidth="1"/>
  </cols>
  <sheetData>
    <row r="1" spans="1:14" x14ac:dyDescent="0.3">
      <c r="A1" s="1" t="s">
        <v>7</v>
      </c>
      <c r="B1" s="1" t="s">
        <v>6</v>
      </c>
      <c r="C1" s="1" t="s">
        <v>5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2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3</v>
      </c>
    </row>
    <row r="2" spans="1:14" x14ac:dyDescent="0.3">
      <c r="A2" t="s">
        <v>17</v>
      </c>
      <c r="B2" t="s">
        <v>22</v>
      </c>
      <c r="C2" t="s">
        <v>27</v>
      </c>
      <c r="D2" t="s">
        <v>30</v>
      </c>
      <c r="E2" t="b">
        <v>1</v>
      </c>
      <c r="F2" s="2">
        <v>46266</v>
      </c>
      <c r="I2" t="s">
        <v>35</v>
      </c>
      <c r="J2" t="s">
        <v>38</v>
      </c>
      <c r="L2" t="s">
        <v>40</v>
      </c>
      <c r="N2" t="s">
        <v>42</v>
      </c>
    </row>
    <row r="3" spans="1:14" x14ac:dyDescent="0.3">
      <c r="A3" t="s">
        <v>18</v>
      </c>
      <c r="B3" t="s">
        <v>23</v>
      </c>
      <c r="C3" t="s">
        <v>28</v>
      </c>
      <c r="D3" t="s">
        <v>31</v>
      </c>
      <c r="E3" t="b">
        <v>1</v>
      </c>
      <c r="F3" s="2">
        <v>46266</v>
      </c>
      <c r="I3" t="s">
        <v>36</v>
      </c>
      <c r="J3" t="s">
        <v>38</v>
      </c>
      <c r="K3" t="s">
        <v>39</v>
      </c>
      <c r="L3" t="s">
        <v>40</v>
      </c>
      <c r="N3" t="s">
        <v>42</v>
      </c>
    </row>
    <row r="4" spans="1:14" x14ac:dyDescent="0.3">
      <c r="A4" t="s">
        <v>19</v>
      </c>
      <c r="B4" t="s">
        <v>22</v>
      </c>
      <c r="C4" t="s">
        <v>26</v>
      </c>
      <c r="D4" t="s">
        <v>32</v>
      </c>
      <c r="E4" t="b">
        <v>1</v>
      </c>
      <c r="F4" s="2">
        <v>46266</v>
      </c>
      <c r="I4" t="s">
        <v>36</v>
      </c>
      <c r="J4" t="s">
        <v>38</v>
      </c>
      <c r="K4" t="s">
        <v>39</v>
      </c>
      <c r="L4" t="s">
        <v>40</v>
      </c>
      <c r="N4" t="s">
        <v>42</v>
      </c>
    </row>
    <row r="5" spans="1:14" x14ac:dyDescent="0.3">
      <c r="A5" t="s">
        <v>20</v>
      </c>
      <c r="B5" t="s">
        <v>22</v>
      </c>
      <c r="C5" t="s">
        <v>29</v>
      </c>
      <c r="D5" t="s">
        <v>33</v>
      </c>
      <c r="E5" t="b">
        <v>1</v>
      </c>
      <c r="F5" s="2">
        <v>46266</v>
      </c>
      <c r="I5" t="s">
        <v>36</v>
      </c>
      <c r="J5" t="s">
        <v>38</v>
      </c>
      <c r="K5" t="s">
        <v>39</v>
      </c>
      <c r="L5" t="s">
        <v>40</v>
      </c>
      <c r="N5" t="s">
        <v>42</v>
      </c>
    </row>
    <row r="6" spans="1:14" x14ac:dyDescent="0.3">
      <c r="A6" t="s">
        <v>21</v>
      </c>
      <c r="B6" t="s">
        <v>24</v>
      </c>
      <c r="C6" t="s">
        <v>25</v>
      </c>
      <c r="D6" t="s">
        <v>34</v>
      </c>
      <c r="E6" t="b">
        <v>1</v>
      </c>
      <c r="F6" s="2">
        <v>46266</v>
      </c>
      <c r="I6" t="s">
        <v>37</v>
      </c>
      <c r="L6" t="s">
        <v>41</v>
      </c>
      <c r="N6" t="s">
        <v>21</v>
      </c>
    </row>
  </sheetData>
  <pageMargins left="0.7" right="0.7" top="0.75" bottom="0.75" header="0.3" footer="0.3"/>
  <headerFooter>
    <oddFooter>&amp;L_x000D_&amp;1#&amp;"Aptos"&amp;7&amp;K000000 C2 General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EC0B-E27E-42C1-8730-A377696687B9}">
  <dimension ref="A4:M9"/>
  <sheetViews>
    <sheetView topLeftCell="A4" workbookViewId="0">
      <selection activeCell="H8" sqref="H8"/>
    </sheetView>
  </sheetViews>
  <sheetFormatPr defaultRowHeight="14.4" x14ac:dyDescent="0.3"/>
  <cols>
    <col min="1" max="1" width="19.6640625" bestFit="1" customWidth="1"/>
    <col min="2" max="2" width="23.21875" bestFit="1" customWidth="1"/>
    <col min="3" max="3" width="7.77734375" bestFit="1" customWidth="1"/>
    <col min="4" max="4" width="8.6640625" bestFit="1" customWidth="1"/>
    <col min="5" max="5" width="10" bestFit="1" customWidth="1"/>
    <col min="6" max="6" width="8.6640625" bestFit="1" customWidth="1"/>
    <col min="7" max="7" width="10.109375" bestFit="1" customWidth="1"/>
    <col min="8" max="8" width="16.6640625" bestFit="1" customWidth="1"/>
    <col min="9" max="9" width="14.88671875" bestFit="1" customWidth="1"/>
    <col min="10" max="10" width="26.88671875" bestFit="1" customWidth="1"/>
    <col min="11" max="12" width="7" bestFit="1" customWidth="1"/>
    <col min="13" max="13" width="13.6640625" bestFit="1" customWidth="1"/>
    <col min="14" max="14" width="13.109375" bestFit="1" customWidth="1"/>
    <col min="15" max="15" width="17" bestFit="1" customWidth="1"/>
    <col min="16" max="16" width="8.77734375" bestFit="1" customWidth="1"/>
    <col min="17" max="17" width="81" bestFit="1" customWidth="1"/>
  </cols>
  <sheetData>
    <row r="4" spans="1:13" x14ac:dyDescent="0.3">
      <c r="A4" s="1" t="s">
        <v>48</v>
      </c>
      <c r="B4" s="1" t="s">
        <v>49</v>
      </c>
      <c r="C4" s="1" t="s">
        <v>43</v>
      </c>
      <c r="D4" s="1" t="s">
        <v>44</v>
      </c>
      <c r="E4" s="1" t="s">
        <v>45</v>
      </c>
      <c r="F4" s="1" t="s">
        <v>4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2</v>
      </c>
      <c r="L4" s="1" t="s">
        <v>47</v>
      </c>
      <c r="M4" s="1" t="s">
        <v>5</v>
      </c>
    </row>
    <row r="5" spans="1:13" x14ac:dyDescent="0.3">
      <c r="A5" t="s">
        <v>60</v>
      </c>
      <c r="B5" t="s">
        <v>64</v>
      </c>
      <c r="C5" t="s">
        <v>61</v>
      </c>
      <c r="D5" t="s">
        <v>57</v>
      </c>
      <c r="F5" t="s">
        <v>58</v>
      </c>
      <c r="K5" s="3">
        <v>1</v>
      </c>
      <c r="L5" t="s">
        <v>1</v>
      </c>
      <c r="M5" t="s">
        <v>27</v>
      </c>
    </row>
    <row r="6" spans="1:13" x14ac:dyDescent="0.3">
      <c r="A6" t="s">
        <v>62</v>
      </c>
      <c r="B6" t="s">
        <v>63</v>
      </c>
      <c r="C6" t="s">
        <v>65</v>
      </c>
      <c r="D6" t="s">
        <v>57</v>
      </c>
      <c r="F6" t="s">
        <v>58</v>
      </c>
      <c r="H6" s="4" t="s">
        <v>66</v>
      </c>
      <c r="I6" t="s">
        <v>67</v>
      </c>
      <c r="J6" t="s">
        <v>73</v>
      </c>
      <c r="K6" s="3">
        <v>0.25</v>
      </c>
      <c r="L6" t="s">
        <v>1</v>
      </c>
      <c r="M6" t="s">
        <v>28</v>
      </c>
    </row>
    <row r="7" spans="1:13" x14ac:dyDescent="0.3">
      <c r="A7" t="s">
        <v>69</v>
      </c>
      <c r="B7" t="s">
        <v>72</v>
      </c>
      <c r="C7" t="s">
        <v>65</v>
      </c>
      <c r="D7" t="s">
        <v>57</v>
      </c>
      <c r="F7" t="s">
        <v>58</v>
      </c>
      <c r="H7" s="4" t="s">
        <v>66</v>
      </c>
      <c r="I7" t="s">
        <v>74</v>
      </c>
      <c r="J7" t="s">
        <v>75</v>
      </c>
      <c r="K7" s="3">
        <v>0.25</v>
      </c>
      <c r="L7" t="s">
        <v>1</v>
      </c>
      <c r="M7" t="s">
        <v>26</v>
      </c>
    </row>
    <row r="8" spans="1:13" x14ac:dyDescent="0.3">
      <c r="A8" t="s">
        <v>70</v>
      </c>
      <c r="B8" t="s">
        <v>71</v>
      </c>
      <c r="C8" t="s">
        <v>68</v>
      </c>
      <c r="D8" t="s">
        <v>57</v>
      </c>
      <c r="F8" t="s">
        <v>58</v>
      </c>
      <c r="K8" s="3">
        <v>0.5</v>
      </c>
      <c r="L8" t="s">
        <v>1</v>
      </c>
      <c r="M8" t="s">
        <v>29</v>
      </c>
    </row>
    <row r="9" spans="1:13" x14ac:dyDescent="0.3">
      <c r="A9" t="s">
        <v>54</v>
      </c>
      <c r="B9" t="s">
        <v>55</v>
      </c>
      <c r="C9" t="s">
        <v>56</v>
      </c>
      <c r="D9" t="s">
        <v>57</v>
      </c>
      <c r="F9" t="s">
        <v>58</v>
      </c>
      <c r="J9" t="s">
        <v>59</v>
      </c>
      <c r="K9" s="3">
        <v>0.01</v>
      </c>
      <c r="L9" t="s">
        <v>1</v>
      </c>
      <c r="M9" t="s">
        <v>25</v>
      </c>
    </row>
  </sheetData>
  <dataValidations count="1">
    <dataValidation type="list" allowBlank="1" showInputMessage="1" showErrorMessage="1" sqref="L1:L3 L5:L1048576" xr:uid="{EA85F882-E044-41F0-9DE1-C757AF4C985B}">
      <formula1>"HTML,JSON,Text"</formula1>
    </dataValidation>
  </dataValidations>
  <hyperlinks>
    <hyperlink ref="H6" r:id="rId1" xr:uid="{D50C5B32-0F9F-4586-B04B-857D6CA8A566}"/>
    <hyperlink ref="H7" r:id="rId2" xr:uid="{EA9B6AEC-9ECF-4152-835D-B0F176D098C9}"/>
  </hyperlinks>
  <pageMargins left="0.7" right="0.7" top="0.75" bottom="0.75" header="0.3" footer="0.3"/>
  <headerFooter>
    <oddFooter>&amp;L_x000D_&amp;1#&amp;"Aptos"&amp;7&amp;K000000 C2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028E-159A-4BB7-935F-43227F57DA3B}">
  <dimension ref="A1:G7"/>
  <sheetViews>
    <sheetView workbookViewId="0">
      <selection sqref="A1:G1"/>
    </sheetView>
  </sheetViews>
  <sheetFormatPr defaultRowHeight="14.4" x14ac:dyDescent="0.3"/>
  <cols>
    <col min="1" max="1" width="13" customWidth="1"/>
    <col min="2" max="2" width="20.33203125" customWidth="1"/>
    <col min="3" max="3" width="37" customWidth="1"/>
    <col min="4" max="4" width="13" customWidth="1"/>
    <col min="5" max="5" width="37" customWidth="1"/>
    <col min="6" max="6" width="13" customWidth="1"/>
    <col min="7" max="7" width="10.21875" customWidth="1"/>
  </cols>
  <sheetData>
    <row r="1" spans="1:7" ht="23.4" x14ac:dyDescent="0.45">
      <c r="A1" s="6" t="s">
        <v>76</v>
      </c>
      <c r="B1" s="5"/>
      <c r="C1" s="5"/>
      <c r="D1" s="5"/>
      <c r="E1" s="5"/>
      <c r="F1" s="5"/>
      <c r="G1" s="5"/>
    </row>
    <row r="2" spans="1:7" x14ac:dyDescent="0.3">
      <c r="A2" s="8" t="s">
        <v>77</v>
      </c>
      <c r="B2" s="5"/>
      <c r="C2" s="5"/>
      <c r="D2" s="5"/>
      <c r="E2" s="5"/>
      <c r="F2" s="5"/>
      <c r="G2" s="5"/>
    </row>
    <row r="4" spans="1:7" x14ac:dyDescent="0.3">
      <c r="A4" s="9" t="s">
        <v>78</v>
      </c>
      <c r="B4" s="9" t="s">
        <v>79</v>
      </c>
      <c r="C4" s="9" t="s">
        <v>0</v>
      </c>
      <c r="D4" s="9" t="s">
        <v>80</v>
      </c>
      <c r="E4" s="9" t="s">
        <v>81</v>
      </c>
      <c r="F4" s="9" t="s">
        <v>82</v>
      </c>
      <c r="G4" s="9" t="s">
        <v>9</v>
      </c>
    </row>
    <row r="5" spans="1:7" ht="28.8" x14ac:dyDescent="0.3">
      <c r="A5" s="9" t="s">
        <v>35</v>
      </c>
      <c r="B5" s="9" t="s">
        <v>83</v>
      </c>
      <c r="C5" s="10" t="s">
        <v>84</v>
      </c>
      <c r="D5" s="9" t="s">
        <v>17</v>
      </c>
      <c r="E5" s="10" t="s">
        <v>85</v>
      </c>
      <c r="F5" s="9">
        <v>30</v>
      </c>
      <c r="G5" s="9" t="b">
        <v>1</v>
      </c>
    </row>
    <row r="6" spans="1:7" ht="43.2" x14ac:dyDescent="0.3">
      <c r="A6" s="9" t="s">
        <v>36</v>
      </c>
      <c r="B6" s="9" t="s">
        <v>86</v>
      </c>
      <c r="C6" s="10" t="s">
        <v>87</v>
      </c>
      <c r="D6" s="9" t="s">
        <v>42</v>
      </c>
      <c r="E6" s="10" t="s">
        <v>88</v>
      </c>
      <c r="F6" s="9">
        <v>7</v>
      </c>
      <c r="G6" s="9" t="b">
        <v>1</v>
      </c>
    </row>
    <row r="7" spans="1:7" ht="28.8" x14ac:dyDescent="0.3">
      <c r="A7" s="9" t="s">
        <v>37</v>
      </c>
      <c r="B7" s="9" t="s">
        <v>89</v>
      </c>
      <c r="C7" s="10" t="s">
        <v>90</v>
      </c>
      <c r="D7" s="9" t="s">
        <v>21</v>
      </c>
      <c r="E7" s="10" t="s">
        <v>91</v>
      </c>
      <c r="F7" s="9">
        <v>0</v>
      </c>
      <c r="G7" s="9" t="b">
        <v>1</v>
      </c>
    </row>
  </sheetData>
  <mergeCells count="2">
    <mergeCell ref="A1:G1"/>
    <mergeCell ref="A2:G2"/>
  </mergeCells>
  <pageMargins left="0.7" right="0.7" top="0.75" bottom="0.75" header="0.3" footer="0.3"/>
  <headerFooter>
    <oddFooter>&amp;L_x000D_&amp;1#&amp;"Aptos"&amp;7&amp;K000000 C2 General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59BD-2947-43A2-BE65-BA84EAD32E7C}">
  <dimension ref="A1:H5"/>
  <sheetViews>
    <sheetView workbookViewId="0">
      <selection sqref="A1:H1"/>
    </sheetView>
  </sheetViews>
  <sheetFormatPr defaultRowHeight="14.4" x14ac:dyDescent="0.3"/>
  <cols>
    <col min="1" max="1" width="12" customWidth="1"/>
    <col min="2" max="2" width="18.5546875" customWidth="1"/>
    <col min="3" max="3" width="37" customWidth="1"/>
    <col min="4" max="4" width="13" customWidth="1"/>
    <col min="5" max="5" width="12" customWidth="1"/>
    <col min="6" max="6" width="13.88671875" customWidth="1"/>
    <col min="7" max="7" width="37" customWidth="1"/>
    <col min="8" max="8" width="10.21875" customWidth="1"/>
  </cols>
  <sheetData>
    <row r="1" spans="1:8" ht="23.4" x14ac:dyDescent="0.45">
      <c r="A1" s="6" t="s">
        <v>92</v>
      </c>
      <c r="B1" s="5"/>
      <c r="C1" s="5"/>
      <c r="D1" s="5"/>
      <c r="E1" s="5"/>
      <c r="F1" s="5"/>
      <c r="G1" s="5"/>
      <c r="H1" s="5"/>
    </row>
    <row r="2" spans="1:8" x14ac:dyDescent="0.3">
      <c r="A2" s="8" t="s">
        <v>93</v>
      </c>
      <c r="B2" s="5"/>
      <c r="C2" s="5"/>
      <c r="D2" s="5"/>
      <c r="E2" s="5"/>
      <c r="F2" s="5"/>
      <c r="G2" s="5"/>
      <c r="H2" s="5"/>
    </row>
    <row r="4" spans="1:8" x14ac:dyDescent="0.3">
      <c r="A4" s="9" t="s">
        <v>94</v>
      </c>
      <c r="B4" s="9" t="s">
        <v>95</v>
      </c>
      <c r="C4" s="9" t="s">
        <v>0</v>
      </c>
      <c r="D4" s="9" t="s">
        <v>96</v>
      </c>
      <c r="E4" s="9" t="s">
        <v>97</v>
      </c>
      <c r="F4" s="9" t="s">
        <v>98</v>
      </c>
      <c r="G4" s="9" t="s">
        <v>99</v>
      </c>
      <c r="H4" s="9" t="s">
        <v>9</v>
      </c>
    </row>
    <row r="5" spans="1:8" ht="28.8" x14ac:dyDescent="0.3">
      <c r="A5" s="9" t="s">
        <v>38</v>
      </c>
      <c r="B5" s="9" t="s">
        <v>100</v>
      </c>
      <c r="C5" s="10" t="s">
        <v>101</v>
      </c>
      <c r="D5" s="9">
        <v>3</v>
      </c>
      <c r="E5" s="9">
        <v>7</v>
      </c>
      <c r="F5" s="9" t="s">
        <v>42</v>
      </c>
      <c r="G5" s="10" t="s">
        <v>102</v>
      </c>
      <c r="H5" s="9" t="b">
        <v>1</v>
      </c>
    </row>
  </sheetData>
  <mergeCells count="2">
    <mergeCell ref="A1:H1"/>
    <mergeCell ref="A2:H2"/>
  </mergeCells>
  <pageMargins left="0.7" right="0.7" top="0.75" bottom="0.75" header="0.3" footer="0.3"/>
  <headerFooter>
    <oddFooter>&amp;L_x000D_&amp;1#&amp;"Aptos"&amp;7&amp;K000000 C2 General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0B34-1BB8-4D9C-A977-11D324F5C0C2}">
  <dimension ref="A1:H8"/>
  <sheetViews>
    <sheetView workbookViewId="0">
      <selection sqref="A1:H1"/>
    </sheetView>
  </sheetViews>
  <sheetFormatPr defaultRowHeight="14.4" x14ac:dyDescent="0.3"/>
  <cols>
    <col min="1" max="3" width="12" customWidth="1"/>
    <col min="4" max="4" width="13" customWidth="1"/>
    <col min="5" max="5" width="12" customWidth="1"/>
    <col min="6" max="6" width="14.77734375" customWidth="1"/>
    <col min="7" max="7" width="37" customWidth="1"/>
    <col min="8" max="8" width="10.21875" customWidth="1"/>
  </cols>
  <sheetData>
    <row r="1" spans="1:8" ht="23.4" x14ac:dyDescent="0.45">
      <c r="A1" s="6" t="s">
        <v>103</v>
      </c>
      <c r="B1" s="5"/>
      <c r="C1" s="5"/>
      <c r="D1" s="5"/>
      <c r="E1" s="5"/>
      <c r="F1" s="5"/>
      <c r="G1" s="5"/>
      <c r="H1" s="5"/>
    </row>
    <row r="2" spans="1:8" x14ac:dyDescent="0.3">
      <c r="A2" s="8" t="s">
        <v>104</v>
      </c>
      <c r="B2" s="5"/>
      <c r="C2" s="5"/>
      <c r="D2" s="5"/>
      <c r="E2" s="5"/>
      <c r="F2" s="5"/>
      <c r="G2" s="5"/>
      <c r="H2" s="5"/>
    </row>
    <row r="4" spans="1:8" x14ac:dyDescent="0.3">
      <c r="A4" s="9" t="s">
        <v>78</v>
      </c>
      <c r="B4" s="9" t="s">
        <v>94</v>
      </c>
      <c r="C4" s="9" t="s">
        <v>43</v>
      </c>
      <c r="D4" s="9" t="s">
        <v>96</v>
      </c>
      <c r="E4" s="9" t="s">
        <v>97</v>
      </c>
      <c r="F4" s="9" t="s">
        <v>105</v>
      </c>
      <c r="G4" s="9" t="s">
        <v>106</v>
      </c>
      <c r="H4" s="9" t="s">
        <v>9</v>
      </c>
    </row>
    <row r="5" spans="1:8" ht="28.8" x14ac:dyDescent="0.3">
      <c r="A5" s="9" t="s">
        <v>107</v>
      </c>
      <c r="B5" s="9" t="s">
        <v>38</v>
      </c>
      <c r="C5" s="9" t="s">
        <v>65</v>
      </c>
      <c r="D5" s="9">
        <v>2</v>
      </c>
      <c r="E5" s="9">
        <v>7</v>
      </c>
      <c r="F5" s="9">
        <v>24</v>
      </c>
      <c r="G5" s="10" t="s">
        <v>108</v>
      </c>
      <c r="H5" s="9" t="b">
        <v>1</v>
      </c>
    </row>
    <row r="6" spans="1:8" ht="28.8" x14ac:dyDescent="0.3">
      <c r="A6" s="9" t="s">
        <v>109</v>
      </c>
      <c r="B6" s="9" t="s">
        <v>38</v>
      </c>
      <c r="C6" s="9" t="s">
        <v>61</v>
      </c>
      <c r="D6" s="9">
        <v>1</v>
      </c>
      <c r="E6" s="9">
        <v>7</v>
      </c>
      <c r="F6" s="9">
        <v>72</v>
      </c>
      <c r="G6" s="10" t="s">
        <v>110</v>
      </c>
      <c r="H6" s="9" t="b">
        <v>1</v>
      </c>
    </row>
    <row r="7" spans="1:8" ht="28.8" x14ac:dyDescent="0.3">
      <c r="A7" s="9" t="s">
        <v>111</v>
      </c>
      <c r="B7" s="9" t="s">
        <v>38</v>
      </c>
      <c r="C7" s="9" t="s">
        <v>68</v>
      </c>
      <c r="D7" s="9">
        <v>1</v>
      </c>
      <c r="E7" s="9">
        <v>30</v>
      </c>
      <c r="F7" s="9">
        <v>0</v>
      </c>
      <c r="G7" s="10" t="s">
        <v>112</v>
      </c>
      <c r="H7" s="9" t="b">
        <v>1</v>
      </c>
    </row>
    <row r="8" spans="1:8" ht="28.8" x14ac:dyDescent="0.3">
      <c r="A8" s="9" t="s">
        <v>113</v>
      </c>
      <c r="B8" s="9" t="s">
        <v>38</v>
      </c>
      <c r="C8" s="9" t="s">
        <v>24</v>
      </c>
      <c r="D8" s="9">
        <v>1</v>
      </c>
      <c r="E8" s="9">
        <v>1</v>
      </c>
      <c r="F8" s="9">
        <v>24</v>
      </c>
      <c r="G8" s="10" t="s">
        <v>114</v>
      </c>
      <c r="H8" s="9" t="b">
        <v>1</v>
      </c>
    </row>
  </sheetData>
  <mergeCells count="2">
    <mergeCell ref="A1:H1"/>
    <mergeCell ref="A2:H2"/>
  </mergeCells>
  <pageMargins left="0.7" right="0.7" top="0.75" bottom="0.75" header="0.3" footer="0.3"/>
  <headerFooter>
    <oddFooter>&amp;L_x000D_&amp;1#&amp;"Aptos"&amp;7&amp;K000000 C2 General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0DB6C-A228-4F9F-B68C-1CF5EE8F7D11}">
  <dimension ref="A1:G5"/>
  <sheetViews>
    <sheetView workbookViewId="0">
      <selection sqref="A1:G1"/>
    </sheetView>
  </sheetViews>
  <sheetFormatPr defaultRowHeight="14.4" x14ac:dyDescent="0.3"/>
  <cols>
    <col min="1" max="1" width="16.6640625" customWidth="1"/>
    <col min="2" max="2" width="23.109375" customWidth="1"/>
    <col min="3" max="3" width="37" customWidth="1"/>
    <col min="4" max="4" width="16.6640625" customWidth="1"/>
    <col min="5" max="5" width="17.5546875" customWidth="1"/>
    <col min="6" max="6" width="20.33203125" customWidth="1"/>
    <col min="7" max="7" width="10.21875" customWidth="1"/>
  </cols>
  <sheetData>
    <row r="1" spans="1:7" ht="23.4" x14ac:dyDescent="0.45">
      <c r="A1" s="6" t="s">
        <v>115</v>
      </c>
      <c r="B1" s="5"/>
      <c r="C1" s="5"/>
      <c r="D1" s="5"/>
      <c r="E1" s="5"/>
      <c r="F1" s="5"/>
      <c r="G1" s="5"/>
    </row>
    <row r="2" spans="1:7" x14ac:dyDescent="0.3">
      <c r="A2" s="8" t="s">
        <v>116</v>
      </c>
      <c r="B2" s="5"/>
      <c r="C2" s="5"/>
      <c r="D2" s="5"/>
      <c r="E2" s="5"/>
      <c r="F2" s="5"/>
      <c r="G2" s="5"/>
    </row>
    <row r="4" spans="1:7" x14ac:dyDescent="0.3">
      <c r="A4" s="9" t="s">
        <v>117</v>
      </c>
      <c r="B4" s="9" t="s">
        <v>118</v>
      </c>
      <c r="C4" s="9" t="s">
        <v>0</v>
      </c>
      <c r="D4" s="9" t="s">
        <v>119</v>
      </c>
      <c r="E4" s="9" t="s">
        <v>120</v>
      </c>
      <c r="F4" s="9" t="s">
        <v>121</v>
      </c>
      <c r="G4" s="9" t="s">
        <v>9</v>
      </c>
    </row>
    <row r="5" spans="1:7" ht="28.8" x14ac:dyDescent="0.3">
      <c r="A5" s="9" t="s">
        <v>39</v>
      </c>
      <c r="B5" s="9" t="s">
        <v>122</v>
      </c>
      <c r="C5" s="10" t="s">
        <v>123</v>
      </c>
      <c r="D5" s="11">
        <v>0.1</v>
      </c>
      <c r="E5" s="9" t="s">
        <v>124</v>
      </c>
      <c r="F5" s="9">
        <v>30</v>
      </c>
      <c r="G5" s="9" t="b">
        <v>1</v>
      </c>
    </row>
  </sheetData>
  <mergeCells count="2">
    <mergeCell ref="A1:G1"/>
    <mergeCell ref="A2:G2"/>
  </mergeCells>
  <pageMargins left="0.7" right="0.7" top="0.75" bottom="0.75" header="0.3" footer="0.3"/>
  <headerFooter>
    <oddFooter>&amp;L_x000D_&amp;1#&amp;"Aptos"&amp;7&amp;K000000 C2 General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6ED1-70BE-451D-99B8-5A06EA9531C7}">
  <dimension ref="A1:G6"/>
  <sheetViews>
    <sheetView workbookViewId="0">
      <selection sqref="A1:G1"/>
    </sheetView>
  </sheetViews>
  <sheetFormatPr defaultRowHeight="14.4" x14ac:dyDescent="0.3"/>
  <cols>
    <col min="1" max="2" width="15.77734375" customWidth="1"/>
    <col min="3" max="3" width="37" customWidth="1"/>
    <col min="4" max="5" width="13.88671875" customWidth="1"/>
    <col min="6" max="6" width="15.77734375" customWidth="1"/>
    <col min="7" max="7" width="10.21875" customWidth="1"/>
  </cols>
  <sheetData>
    <row r="1" spans="1:7" ht="23.4" x14ac:dyDescent="0.45">
      <c r="A1" s="6" t="s">
        <v>125</v>
      </c>
      <c r="B1" s="5"/>
      <c r="C1" s="5"/>
      <c r="D1" s="5"/>
      <c r="E1" s="5"/>
      <c r="F1" s="5"/>
      <c r="G1" s="5"/>
    </row>
    <row r="2" spans="1:7" x14ac:dyDescent="0.3">
      <c r="A2" s="8" t="s">
        <v>126</v>
      </c>
      <c r="B2" s="5"/>
      <c r="C2" s="5"/>
      <c r="D2" s="5"/>
      <c r="E2" s="5"/>
      <c r="F2" s="5"/>
      <c r="G2" s="5"/>
    </row>
    <row r="4" spans="1:7" x14ac:dyDescent="0.3">
      <c r="A4" s="9" t="s">
        <v>127</v>
      </c>
      <c r="B4" s="9" t="s">
        <v>128</v>
      </c>
      <c r="C4" s="9" t="s">
        <v>0</v>
      </c>
      <c r="D4" s="9" t="s">
        <v>129</v>
      </c>
      <c r="E4" s="9" t="s">
        <v>130</v>
      </c>
      <c r="F4" s="9" t="s">
        <v>131</v>
      </c>
      <c r="G4" s="9" t="s">
        <v>9</v>
      </c>
    </row>
    <row r="5" spans="1:7" x14ac:dyDescent="0.3">
      <c r="A5" s="9" t="s">
        <v>132</v>
      </c>
      <c r="B5" s="9" t="s">
        <v>40</v>
      </c>
      <c r="C5" s="10" t="s">
        <v>133</v>
      </c>
      <c r="D5" s="9" t="s">
        <v>134</v>
      </c>
      <c r="E5" s="9">
        <v>1</v>
      </c>
      <c r="F5" s="9" t="s">
        <v>135</v>
      </c>
      <c r="G5" s="9" t="b">
        <v>1</v>
      </c>
    </row>
    <row r="6" spans="1:7" ht="28.8" x14ac:dyDescent="0.3">
      <c r="A6" s="9" t="s">
        <v>136</v>
      </c>
      <c r="B6" s="9" t="s">
        <v>41</v>
      </c>
      <c r="C6" s="10" t="s">
        <v>137</v>
      </c>
      <c r="D6" s="9" t="s">
        <v>138</v>
      </c>
      <c r="E6" s="9">
        <v>1</v>
      </c>
      <c r="F6" s="9" t="s">
        <v>139</v>
      </c>
      <c r="G6" s="9" t="b">
        <v>1</v>
      </c>
    </row>
  </sheetData>
  <mergeCells count="2">
    <mergeCell ref="A1:G1"/>
    <mergeCell ref="A2:G2"/>
  </mergeCells>
  <pageMargins left="0.7" right="0.7" top="0.75" bottom="0.75" header="0.3" footer="0.3"/>
  <headerFooter>
    <oddFooter>&amp;L_x000D_&amp;1#&amp;"Aptos"&amp;7&amp;K000000 C2 General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92FD-723B-47E2-8829-A34672489B23}">
  <dimension ref="A1:G8"/>
  <sheetViews>
    <sheetView workbookViewId="0">
      <selection sqref="A1:G1"/>
    </sheetView>
  </sheetViews>
  <sheetFormatPr defaultRowHeight="14.4" x14ac:dyDescent="0.3"/>
  <cols>
    <col min="1" max="1" width="17.5546875" customWidth="1"/>
    <col min="2" max="2" width="22.21875" customWidth="1"/>
    <col min="3" max="3" width="12" customWidth="1"/>
    <col min="4" max="4" width="14.77734375" customWidth="1"/>
    <col min="5" max="5" width="12" customWidth="1"/>
    <col min="6" max="6" width="37" customWidth="1"/>
    <col min="7" max="7" width="10.21875" customWidth="1"/>
  </cols>
  <sheetData>
    <row r="1" spans="1:7" ht="23.4" x14ac:dyDescent="0.45">
      <c r="A1" s="6" t="s">
        <v>140</v>
      </c>
      <c r="B1" s="5"/>
      <c r="C1" s="5"/>
      <c r="D1" s="5"/>
      <c r="E1" s="5"/>
      <c r="F1" s="5"/>
      <c r="G1" s="5"/>
    </row>
    <row r="2" spans="1:7" x14ac:dyDescent="0.3">
      <c r="A2" s="8" t="s">
        <v>141</v>
      </c>
      <c r="B2" s="5"/>
      <c r="C2" s="5"/>
      <c r="D2" s="5"/>
      <c r="E2" s="5"/>
      <c r="F2" s="5"/>
      <c r="G2" s="5"/>
    </row>
    <row r="4" spans="1:7" x14ac:dyDescent="0.3">
      <c r="A4" s="9" t="s">
        <v>142</v>
      </c>
      <c r="B4" s="9" t="s">
        <v>143</v>
      </c>
      <c r="C4" s="9" t="s">
        <v>43</v>
      </c>
      <c r="D4" s="9" t="s">
        <v>144</v>
      </c>
      <c r="E4" s="9" t="s">
        <v>145</v>
      </c>
      <c r="F4" s="9" t="s">
        <v>0</v>
      </c>
      <c r="G4" s="9" t="s">
        <v>9</v>
      </c>
    </row>
    <row r="5" spans="1:7" ht="28.8" x14ac:dyDescent="0.3">
      <c r="A5" s="9" t="s">
        <v>146</v>
      </c>
      <c r="B5" s="9" t="s">
        <v>147</v>
      </c>
      <c r="C5" s="9" t="s">
        <v>65</v>
      </c>
      <c r="D5" s="12">
        <v>50000</v>
      </c>
      <c r="E5" s="9" t="s">
        <v>40</v>
      </c>
      <c r="F5" s="10" t="s">
        <v>148</v>
      </c>
      <c r="G5" s="9" t="b">
        <v>1</v>
      </c>
    </row>
    <row r="6" spans="1:7" ht="28.8" x14ac:dyDescent="0.3">
      <c r="A6" s="9" t="s">
        <v>149</v>
      </c>
      <c r="B6" s="9" t="s">
        <v>150</v>
      </c>
      <c r="C6" s="9" t="s">
        <v>56</v>
      </c>
      <c r="D6" s="12">
        <v>100000</v>
      </c>
      <c r="E6" s="9" t="s">
        <v>40</v>
      </c>
      <c r="F6" s="10" t="s">
        <v>151</v>
      </c>
      <c r="G6" s="9" t="b">
        <v>1</v>
      </c>
    </row>
    <row r="7" spans="1:7" ht="28.8" x14ac:dyDescent="0.3">
      <c r="A7" s="9" t="s">
        <v>152</v>
      </c>
      <c r="B7" s="9" t="s">
        <v>153</v>
      </c>
      <c r="C7" s="9" t="s">
        <v>68</v>
      </c>
      <c r="D7" s="12">
        <v>5000</v>
      </c>
      <c r="E7" s="9" t="s">
        <v>40</v>
      </c>
      <c r="F7" s="10" t="s">
        <v>154</v>
      </c>
      <c r="G7" s="9" t="b">
        <v>1</v>
      </c>
    </row>
    <row r="8" spans="1:7" ht="28.8" x14ac:dyDescent="0.3">
      <c r="A8" s="9" t="s">
        <v>155</v>
      </c>
      <c r="B8" s="9" t="s">
        <v>156</v>
      </c>
      <c r="C8" s="9" t="s">
        <v>61</v>
      </c>
      <c r="D8" s="12">
        <v>10000</v>
      </c>
      <c r="E8" s="9" t="s">
        <v>40</v>
      </c>
      <c r="F8" s="10" t="s">
        <v>157</v>
      </c>
      <c r="G8" s="9" t="b">
        <v>1</v>
      </c>
    </row>
  </sheetData>
  <mergeCells count="2">
    <mergeCell ref="A1:G1"/>
    <mergeCell ref="A2:G2"/>
  </mergeCells>
  <pageMargins left="0.7" right="0.7" top="0.75" bottom="0.75" header="0.3" footer="0.3"/>
  <headerFooter>
    <oddFooter>&amp;L_x000D_&amp;1#&amp;"Aptos"&amp;7&amp;K000000 C2 General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0A80F-841A-4329-AD00-16468E0E76EB}">
  <dimension ref="A1:I6"/>
  <sheetViews>
    <sheetView workbookViewId="0">
      <selection sqref="A1:I1"/>
    </sheetView>
  </sheetViews>
  <sheetFormatPr defaultRowHeight="14.4" x14ac:dyDescent="0.3"/>
  <cols>
    <col min="1" max="1" width="20.33203125" customWidth="1"/>
    <col min="2" max="2" width="14.77734375" customWidth="1"/>
    <col min="3" max="4" width="20.33203125" customWidth="1"/>
    <col min="5" max="5" width="13.88671875" customWidth="1"/>
    <col min="6" max="7" width="12" customWidth="1"/>
    <col min="8" max="8" width="16.6640625" customWidth="1"/>
    <col min="9" max="9" width="10.21875" customWidth="1"/>
  </cols>
  <sheetData>
    <row r="1" spans="1:9" ht="23.4" x14ac:dyDescent="0.45">
      <c r="A1" s="6" t="s">
        <v>158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8" t="s">
        <v>159</v>
      </c>
      <c r="B2" s="5"/>
      <c r="C2" s="5"/>
      <c r="D2" s="5"/>
      <c r="E2" s="5"/>
      <c r="F2" s="5"/>
      <c r="G2" s="5"/>
      <c r="H2" s="5"/>
      <c r="I2" s="5"/>
    </row>
    <row r="4" spans="1:9" x14ac:dyDescent="0.3">
      <c r="A4" s="9" t="s">
        <v>48</v>
      </c>
      <c r="B4" s="9" t="s">
        <v>160</v>
      </c>
      <c r="C4" s="9" t="s">
        <v>161</v>
      </c>
      <c r="D4" s="9" t="s">
        <v>162</v>
      </c>
      <c r="E4" s="9" t="s">
        <v>163</v>
      </c>
      <c r="F4" s="9" t="s">
        <v>164</v>
      </c>
      <c r="G4" s="9" t="s">
        <v>165</v>
      </c>
      <c r="H4" s="9" t="s">
        <v>166</v>
      </c>
      <c r="I4" s="9" t="s">
        <v>9</v>
      </c>
    </row>
    <row r="5" spans="1:9" x14ac:dyDescent="0.3">
      <c r="A5" s="9" t="s">
        <v>62</v>
      </c>
      <c r="B5" s="9" t="s">
        <v>167</v>
      </c>
      <c r="C5" s="9" t="s">
        <v>168</v>
      </c>
      <c r="D5" s="9" t="s">
        <v>169</v>
      </c>
      <c r="E5" s="9" t="s">
        <v>170</v>
      </c>
      <c r="F5" s="9" t="b">
        <v>1</v>
      </c>
      <c r="G5" s="9" t="b">
        <v>1</v>
      </c>
      <c r="H5" s="9" t="b">
        <v>1</v>
      </c>
      <c r="I5" s="9" t="b">
        <v>1</v>
      </c>
    </row>
    <row r="6" spans="1:9" x14ac:dyDescent="0.3">
      <c r="A6" s="9" t="s">
        <v>69</v>
      </c>
      <c r="B6" s="9" t="s">
        <v>167</v>
      </c>
      <c r="C6" s="9" t="s">
        <v>168</v>
      </c>
      <c r="D6" s="9" t="s">
        <v>169</v>
      </c>
      <c r="E6" s="9" t="s">
        <v>170</v>
      </c>
      <c r="F6" s="9" t="b">
        <v>1</v>
      </c>
      <c r="G6" s="9" t="b">
        <v>1</v>
      </c>
      <c r="H6" s="9" t="b">
        <v>1</v>
      </c>
      <c r="I6" s="9" t="b">
        <v>1</v>
      </c>
    </row>
  </sheetData>
  <mergeCells count="2">
    <mergeCell ref="A1:I1"/>
    <mergeCell ref="A2:I2"/>
  </mergeCells>
  <pageMargins left="0.7" right="0.7" top="0.75" bottom="0.75" header="0.3" footer="0.3"/>
  <headerFooter>
    <oddFooter>&amp;L_x000D_&amp;1#&amp;"Aptos"&amp;7&amp;K000000 C2 General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9826-39F1-4184-A969-5246E1FDDA91}">
  <dimension ref="A1:H5"/>
  <sheetViews>
    <sheetView workbookViewId="0">
      <selection sqref="A1:H1"/>
    </sheetView>
  </sheetViews>
  <sheetFormatPr defaultRowHeight="14.4" x14ac:dyDescent="0.3"/>
  <cols>
    <col min="1" max="1" width="20.33203125" customWidth="1"/>
    <col min="2" max="2" width="13.88671875" customWidth="1"/>
    <col min="3" max="3" width="14.77734375" customWidth="1"/>
    <col min="4" max="4" width="13" customWidth="1"/>
    <col min="5" max="5" width="13.88671875" customWidth="1"/>
    <col min="6" max="7" width="15.77734375" customWidth="1"/>
    <col min="8" max="8" width="10.21875" customWidth="1"/>
  </cols>
  <sheetData>
    <row r="1" spans="1:8" ht="23.4" x14ac:dyDescent="0.45">
      <c r="A1" s="6" t="s">
        <v>171</v>
      </c>
      <c r="B1" s="5"/>
      <c r="C1" s="5"/>
      <c r="D1" s="5"/>
      <c r="E1" s="5"/>
      <c r="F1" s="5"/>
      <c r="G1" s="5"/>
      <c r="H1" s="5"/>
    </row>
    <row r="2" spans="1:8" x14ac:dyDescent="0.3">
      <c r="A2" s="8" t="s">
        <v>172</v>
      </c>
      <c r="B2" s="5"/>
      <c r="C2" s="5"/>
      <c r="D2" s="5"/>
      <c r="E2" s="5"/>
      <c r="F2" s="5"/>
      <c r="G2" s="5"/>
      <c r="H2" s="5"/>
    </row>
    <row r="4" spans="1:8" x14ac:dyDescent="0.3">
      <c r="A4" s="9" t="s">
        <v>48</v>
      </c>
      <c r="B4" s="9" t="s">
        <v>173</v>
      </c>
      <c r="C4" s="9" t="s">
        <v>174</v>
      </c>
      <c r="D4" s="9" t="s">
        <v>175</v>
      </c>
      <c r="E4" s="9" t="s">
        <v>176</v>
      </c>
      <c r="F4" s="9" t="s">
        <v>177</v>
      </c>
      <c r="G4" s="9" t="s">
        <v>178</v>
      </c>
      <c r="H4" s="9" t="s">
        <v>9</v>
      </c>
    </row>
    <row r="5" spans="1:8" x14ac:dyDescent="0.3">
      <c r="A5" s="9" t="s">
        <v>54</v>
      </c>
      <c r="B5" s="9" t="s">
        <v>167</v>
      </c>
      <c r="C5" s="9" t="s">
        <v>21</v>
      </c>
      <c r="D5" s="9" t="s">
        <v>179</v>
      </c>
      <c r="E5" s="9">
        <v>2</v>
      </c>
      <c r="F5" s="9" t="b">
        <v>1</v>
      </c>
      <c r="G5" s="9" t="b">
        <v>0</v>
      </c>
      <c r="H5" s="9" t="b">
        <v>1</v>
      </c>
    </row>
  </sheetData>
  <mergeCells count="2">
    <mergeCell ref="A1:H1"/>
    <mergeCell ref="A2:H2"/>
  </mergeCells>
  <pageMargins left="0.7" right="0.7" top="0.75" bottom="0.75" header="0.3" footer="0.3"/>
  <headerFooter>
    <oddFooter>&amp;L_x000D_&amp;1#&amp;"Aptos"&amp;7&amp;K000000 C2 General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92C7-B092-4FB7-B5B4-C22576A58FFE}">
  <dimension ref="A1:H5"/>
  <sheetViews>
    <sheetView workbookViewId="0">
      <selection sqref="A1:H1"/>
    </sheetView>
  </sheetViews>
  <sheetFormatPr defaultRowHeight="14.4" x14ac:dyDescent="0.3"/>
  <cols>
    <col min="1" max="1" width="20.33203125" customWidth="1"/>
    <col min="2" max="2" width="18.5546875" customWidth="1"/>
    <col min="3" max="3" width="13" customWidth="1"/>
    <col min="4" max="4" width="13.88671875" customWidth="1"/>
    <col min="5" max="5" width="10.21875" customWidth="1"/>
    <col min="6" max="7" width="16.6640625" customWidth="1"/>
    <col min="8" max="8" width="10.21875" customWidth="1"/>
  </cols>
  <sheetData>
    <row r="1" spans="1:8" ht="23.4" x14ac:dyDescent="0.45">
      <c r="A1" s="6" t="s">
        <v>180</v>
      </c>
      <c r="B1" s="5"/>
      <c r="C1" s="5"/>
      <c r="D1" s="5"/>
      <c r="E1" s="5"/>
      <c r="F1" s="5"/>
      <c r="G1" s="5"/>
      <c r="H1" s="5"/>
    </row>
    <row r="2" spans="1:8" x14ac:dyDescent="0.3">
      <c r="A2" s="8" t="s">
        <v>181</v>
      </c>
      <c r="B2" s="5"/>
      <c r="C2" s="5"/>
      <c r="D2" s="5"/>
      <c r="E2" s="5"/>
      <c r="F2" s="5"/>
      <c r="G2" s="5"/>
      <c r="H2" s="5"/>
    </row>
    <row r="4" spans="1:8" x14ac:dyDescent="0.3">
      <c r="A4" s="9" t="s">
        <v>48</v>
      </c>
      <c r="B4" s="9" t="s">
        <v>182</v>
      </c>
      <c r="C4" s="9" t="s">
        <v>183</v>
      </c>
      <c r="D4" s="9" t="s">
        <v>184</v>
      </c>
      <c r="E4" s="9" t="s">
        <v>185</v>
      </c>
      <c r="F4" s="9" t="s">
        <v>186</v>
      </c>
      <c r="G4" s="9" t="s">
        <v>187</v>
      </c>
      <c r="H4" s="9" t="s">
        <v>9</v>
      </c>
    </row>
    <row r="5" spans="1:8" x14ac:dyDescent="0.3">
      <c r="A5" s="9" t="s">
        <v>70</v>
      </c>
      <c r="B5" s="9" t="s">
        <v>188</v>
      </c>
      <c r="C5" s="9" t="s">
        <v>189</v>
      </c>
      <c r="D5" s="9" t="s">
        <v>190</v>
      </c>
      <c r="E5" s="9" t="b">
        <v>1</v>
      </c>
      <c r="F5" s="9" t="s">
        <v>191</v>
      </c>
      <c r="G5" s="9" t="s">
        <v>192</v>
      </c>
      <c r="H5" s="9" t="b">
        <v>1</v>
      </c>
    </row>
  </sheetData>
  <mergeCells count="2">
    <mergeCell ref="A1:H1"/>
    <mergeCell ref="A2:H2"/>
  </mergeCells>
  <pageMargins left="0.7" right="0.7" top="0.75" bottom="0.75" header="0.3" footer="0.3"/>
  <headerFooter>
    <oddFooter>&amp;L_x000D_&amp;1#&amp;"Aptos"&amp;7&amp;K000000 C2 General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F248-3B00-437F-AC29-614992316782}">
  <dimension ref="A1:H5"/>
  <sheetViews>
    <sheetView workbookViewId="0">
      <selection sqref="A1:H1"/>
    </sheetView>
  </sheetViews>
  <sheetFormatPr defaultRowHeight="14.4" x14ac:dyDescent="0.3"/>
  <cols>
    <col min="1" max="1" width="21.33203125" customWidth="1"/>
    <col min="2" max="2" width="15.77734375" customWidth="1"/>
    <col min="3" max="3" width="16.6640625" customWidth="1"/>
    <col min="4" max="4" width="14.77734375" customWidth="1"/>
    <col min="5" max="5" width="19.44140625" customWidth="1"/>
    <col min="6" max="6" width="18.5546875" customWidth="1"/>
    <col min="7" max="7" width="13.88671875" customWidth="1"/>
    <col min="8" max="8" width="10.21875" customWidth="1"/>
  </cols>
  <sheetData>
    <row r="1" spans="1:8" ht="23.4" x14ac:dyDescent="0.45">
      <c r="A1" s="6" t="s">
        <v>193</v>
      </c>
      <c r="B1" s="5"/>
      <c r="C1" s="5"/>
      <c r="D1" s="5"/>
      <c r="E1" s="5"/>
      <c r="F1" s="5"/>
      <c r="G1" s="5"/>
      <c r="H1" s="5"/>
    </row>
    <row r="2" spans="1:8" x14ac:dyDescent="0.3">
      <c r="A2" s="8" t="s">
        <v>194</v>
      </c>
      <c r="B2" s="5"/>
      <c r="C2" s="5"/>
      <c r="D2" s="5"/>
      <c r="E2" s="5"/>
      <c r="F2" s="5"/>
      <c r="G2" s="5"/>
      <c r="H2" s="5"/>
    </row>
    <row r="4" spans="1:8" x14ac:dyDescent="0.3">
      <c r="A4" s="9" t="s">
        <v>48</v>
      </c>
      <c r="B4" s="9" t="s">
        <v>195</v>
      </c>
      <c r="C4" s="9" t="s">
        <v>196</v>
      </c>
      <c r="D4" s="9" t="s">
        <v>197</v>
      </c>
      <c r="E4" s="9" t="s">
        <v>198</v>
      </c>
      <c r="F4" s="9" t="s">
        <v>199</v>
      </c>
      <c r="G4" s="9" t="s">
        <v>200</v>
      </c>
      <c r="H4" s="9" t="s">
        <v>9</v>
      </c>
    </row>
    <row r="5" spans="1:8" x14ac:dyDescent="0.3">
      <c r="A5" s="9" t="s">
        <v>60</v>
      </c>
      <c r="B5" s="9" t="s">
        <v>17</v>
      </c>
      <c r="C5" s="9" t="s">
        <v>201</v>
      </c>
      <c r="D5" s="9">
        <v>3</v>
      </c>
      <c r="E5" s="9">
        <v>24</v>
      </c>
      <c r="F5" s="9" t="s">
        <v>202</v>
      </c>
      <c r="G5" s="9" t="b">
        <v>1</v>
      </c>
      <c r="H5" s="9" t="b">
        <v>1</v>
      </c>
    </row>
  </sheetData>
  <mergeCells count="2">
    <mergeCell ref="A1:H1"/>
    <mergeCell ref="A2:H2"/>
  </mergeCells>
  <pageMargins left="0.7" right="0.7" top="0.75" bottom="0.75" header="0.3" footer="0.3"/>
  <headerFooter>
    <oddFooter>&amp;L_x000D_&amp;1#&amp;"Aptos"&amp;7&amp;K000000 C2 General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A4D0-2333-47D0-8F21-F1AAF20AE116}">
  <dimension ref="A1:G14"/>
  <sheetViews>
    <sheetView workbookViewId="0">
      <selection sqref="A1:G1"/>
    </sheetView>
  </sheetViews>
  <sheetFormatPr defaultRowHeight="14.4" x14ac:dyDescent="0.3"/>
  <cols>
    <col min="1" max="1" width="18.5546875" customWidth="1"/>
    <col min="2" max="2" width="20.33203125" customWidth="1"/>
    <col min="3" max="3" width="12" customWidth="1"/>
    <col min="4" max="4" width="20.33203125" customWidth="1"/>
    <col min="5" max="5" width="13.88671875" customWidth="1"/>
    <col min="6" max="6" width="20.33203125" customWidth="1"/>
    <col min="7" max="7" width="13" customWidth="1"/>
  </cols>
  <sheetData>
    <row r="1" spans="1:7" ht="23.4" x14ac:dyDescent="0.45">
      <c r="A1" s="6" t="s">
        <v>203</v>
      </c>
      <c r="B1" s="5"/>
      <c r="C1" s="5"/>
      <c r="D1" s="5"/>
      <c r="E1" s="5"/>
      <c r="F1" s="5"/>
      <c r="G1" s="5"/>
    </row>
    <row r="2" spans="1:7" x14ac:dyDescent="0.3">
      <c r="A2" s="8" t="s">
        <v>204</v>
      </c>
      <c r="B2" s="5"/>
      <c r="C2" s="5"/>
      <c r="D2" s="5"/>
      <c r="E2" s="5"/>
      <c r="F2" s="5"/>
      <c r="G2" s="5"/>
    </row>
    <row r="4" spans="1:7" x14ac:dyDescent="0.3">
      <c r="A4" s="9" t="s">
        <v>205</v>
      </c>
      <c r="B4" s="9" t="s">
        <v>48</v>
      </c>
      <c r="C4" s="9" t="s">
        <v>43</v>
      </c>
      <c r="D4" s="9" t="s">
        <v>206</v>
      </c>
      <c r="E4" s="9" t="s">
        <v>207</v>
      </c>
      <c r="F4" s="9" t="s">
        <v>208</v>
      </c>
      <c r="G4" s="9" t="s">
        <v>209</v>
      </c>
    </row>
    <row r="5" spans="1:7" x14ac:dyDescent="0.3">
      <c r="A5" s="9" t="s">
        <v>210</v>
      </c>
      <c r="B5" s="9" t="s">
        <v>60</v>
      </c>
      <c r="C5" s="9" t="s">
        <v>61</v>
      </c>
      <c r="D5" s="9" t="s">
        <v>211</v>
      </c>
      <c r="E5" s="9" t="b">
        <v>1</v>
      </c>
      <c r="F5" s="9">
        <v>7</v>
      </c>
      <c r="G5" s="9" t="b">
        <v>1</v>
      </c>
    </row>
    <row r="6" spans="1:7" x14ac:dyDescent="0.3">
      <c r="A6" s="9" t="s">
        <v>212</v>
      </c>
      <c r="B6" s="9" t="s">
        <v>60</v>
      </c>
      <c r="C6" s="9" t="s">
        <v>61</v>
      </c>
      <c r="D6" s="9" t="s">
        <v>213</v>
      </c>
      <c r="E6" s="9" t="b">
        <v>0</v>
      </c>
      <c r="F6" s="9">
        <v>7</v>
      </c>
      <c r="G6" s="9" t="b">
        <v>0</v>
      </c>
    </row>
    <row r="7" spans="1:7" x14ac:dyDescent="0.3">
      <c r="A7" s="9" t="s">
        <v>214</v>
      </c>
      <c r="B7" s="9" t="s">
        <v>62</v>
      </c>
      <c r="C7" s="9" t="s">
        <v>65</v>
      </c>
      <c r="D7" s="9" t="s">
        <v>215</v>
      </c>
      <c r="E7" s="9" t="b">
        <v>1</v>
      </c>
      <c r="F7" s="9">
        <v>14</v>
      </c>
      <c r="G7" s="9" t="b">
        <v>1</v>
      </c>
    </row>
    <row r="8" spans="1:7" x14ac:dyDescent="0.3">
      <c r="A8" s="9" t="s">
        <v>216</v>
      </c>
      <c r="B8" s="9" t="s">
        <v>62</v>
      </c>
      <c r="C8" s="9" t="s">
        <v>65</v>
      </c>
      <c r="D8" s="9" t="s">
        <v>217</v>
      </c>
      <c r="E8" s="9" t="b">
        <v>0</v>
      </c>
      <c r="F8" s="9">
        <v>14</v>
      </c>
      <c r="G8" s="9" t="b">
        <v>0</v>
      </c>
    </row>
    <row r="9" spans="1:7" x14ac:dyDescent="0.3">
      <c r="A9" s="9" t="s">
        <v>218</v>
      </c>
      <c r="B9" s="9" t="s">
        <v>69</v>
      </c>
      <c r="C9" s="9" t="s">
        <v>65</v>
      </c>
      <c r="D9" s="9" t="s">
        <v>219</v>
      </c>
      <c r="E9" s="9" t="b">
        <v>1</v>
      </c>
      <c r="F9" s="9">
        <v>14</v>
      </c>
      <c r="G9" s="9" t="b">
        <v>1</v>
      </c>
    </row>
    <row r="10" spans="1:7" x14ac:dyDescent="0.3">
      <c r="A10" s="9" t="s">
        <v>220</v>
      </c>
      <c r="B10" s="9" t="s">
        <v>69</v>
      </c>
      <c r="C10" s="9" t="s">
        <v>65</v>
      </c>
      <c r="D10" s="9" t="s">
        <v>217</v>
      </c>
      <c r="E10" s="9" t="b">
        <v>0</v>
      </c>
      <c r="F10" s="9">
        <v>14</v>
      </c>
      <c r="G10" s="9" t="b">
        <v>0</v>
      </c>
    </row>
    <row r="11" spans="1:7" x14ac:dyDescent="0.3">
      <c r="A11" s="9" t="s">
        <v>221</v>
      </c>
      <c r="B11" s="9" t="s">
        <v>70</v>
      </c>
      <c r="C11" s="9" t="s">
        <v>68</v>
      </c>
      <c r="D11" s="9" t="s">
        <v>222</v>
      </c>
      <c r="E11" s="9" t="b">
        <v>1</v>
      </c>
      <c r="F11" s="9">
        <v>30</v>
      </c>
      <c r="G11" s="9" t="b">
        <v>1</v>
      </c>
    </row>
    <row r="12" spans="1:7" x14ac:dyDescent="0.3">
      <c r="A12" s="9" t="s">
        <v>223</v>
      </c>
      <c r="B12" s="9" t="s">
        <v>70</v>
      </c>
      <c r="C12" s="9" t="s">
        <v>68</v>
      </c>
      <c r="D12" s="9" t="s">
        <v>217</v>
      </c>
      <c r="E12" s="9" t="b">
        <v>0</v>
      </c>
      <c r="F12" s="9">
        <v>30</v>
      </c>
      <c r="G12" s="9" t="b">
        <v>0</v>
      </c>
    </row>
    <row r="13" spans="1:7" x14ac:dyDescent="0.3">
      <c r="A13" s="9" t="s">
        <v>224</v>
      </c>
      <c r="B13" s="9" t="s">
        <v>54</v>
      </c>
      <c r="C13" s="9" t="s">
        <v>56</v>
      </c>
      <c r="D13" s="9" t="s">
        <v>225</v>
      </c>
      <c r="E13" s="9" t="b">
        <v>1</v>
      </c>
      <c r="F13" s="9">
        <v>1</v>
      </c>
      <c r="G13" s="9" t="b">
        <v>1</v>
      </c>
    </row>
    <row r="14" spans="1:7" x14ac:dyDescent="0.3">
      <c r="A14" s="9" t="s">
        <v>226</v>
      </c>
      <c r="B14" s="9" t="s">
        <v>54</v>
      </c>
      <c r="C14" s="9" t="s">
        <v>56</v>
      </c>
      <c r="D14" s="9" t="s">
        <v>227</v>
      </c>
      <c r="E14" s="9" t="b">
        <v>0</v>
      </c>
      <c r="F14" s="9">
        <v>1</v>
      </c>
      <c r="G14" s="9" t="b">
        <v>1</v>
      </c>
    </row>
  </sheetData>
  <mergeCells count="2">
    <mergeCell ref="A1:G1"/>
    <mergeCell ref="A2:G2"/>
  </mergeCells>
  <pageMargins left="0.7" right="0.7" top="0.75" bottom="0.75" header="0.3" footer="0.3"/>
  <headerFooter>
    <oddFooter>&amp;L_x000D_&amp;1#&amp;"Aptos"&amp;7&amp;K000000 C2 General</oddFooter>
  </headerFooter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7794E-4CCB-4497-92BC-04BD55586255}">
  <dimension ref="A1:G9"/>
  <sheetViews>
    <sheetView workbookViewId="0">
      <selection sqref="A1:G1"/>
    </sheetView>
  </sheetViews>
  <sheetFormatPr defaultRowHeight="14.4" x14ac:dyDescent="0.3"/>
  <cols>
    <col min="1" max="1" width="13" customWidth="1"/>
    <col min="2" max="2" width="16.6640625" customWidth="1"/>
    <col min="3" max="3" width="20.33203125" customWidth="1"/>
    <col min="4" max="4" width="14.77734375" customWidth="1"/>
    <col min="5" max="5" width="37" customWidth="1"/>
    <col min="6" max="6" width="22.21875" customWidth="1"/>
    <col min="7" max="7" width="10.21875" customWidth="1"/>
  </cols>
  <sheetData>
    <row r="1" spans="1:7" ht="23.4" x14ac:dyDescent="0.45">
      <c r="A1" s="6" t="s">
        <v>228</v>
      </c>
      <c r="B1" s="5"/>
      <c r="C1" s="5"/>
      <c r="D1" s="5"/>
      <c r="E1" s="5"/>
      <c r="F1" s="5"/>
      <c r="G1" s="5"/>
    </row>
    <row r="2" spans="1:7" x14ac:dyDescent="0.3">
      <c r="A2" s="8" t="s">
        <v>229</v>
      </c>
      <c r="B2" s="5"/>
      <c r="C2" s="5"/>
      <c r="D2" s="5"/>
      <c r="E2" s="5"/>
      <c r="F2" s="5"/>
      <c r="G2" s="5"/>
    </row>
    <row r="4" spans="1:7" x14ac:dyDescent="0.3">
      <c r="A4" s="9" t="s">
        <v>230</v>
      </c>
      <c r="B4" s="9" t="s">
        <v>5</v>
      </c>
      <c r="C4" s="9" t="s">
        <v>48</v>
      </c>
      <c r="D4" s="9" t="s">
        <v>7</v>
      </c>
      <c r="E4" s="9" t="s">
        <v>231</v>
      </c>
      <c r="F4" s="9" t="s">
        <v>232</v>
      </c>
      <c r="G4" s="9" t="s">
        <v>9</v>
      </c>
    </row>
    <row r="5" spans="1:7" ht="28.8" x14ac:dyDescent="0.3">
      <c r="A5" s="9">
        <v>1</v>
      </c>
      <c r="B5" s="9" t="s">
        <v>25</v>
      </c>
      <c r="C5" s="9" t="s">
        <v>54</v>
      </c>
      <c r="D5" s="9" t="s">
        <v>21</v>
      </c>
      <c r="E5" s="10" t="s">
        <v>233</v>
      </c>
      <c r="F5" s="9" t="s">
        <v>234</v>
      </c>
      <c r="G5" s="9" t="b">
        <v>1</v>
      </c>
    </row>
    <row r="6" spans="1:7" ht="28.8" x14ac:dyDescent="0.3">
      <c r="A6" s="9">
        <v>2</v>
      </c>
      <c r="B6" s="9" t="s">
        <v>27</v>
      </c>
      <c r="C6" s="9" t="s">
        <v>60</v>
      </c>
      <c r="D6" s="9" t="s">
        <v>17</v>
      </c>
      <c r="E6" s="10" t="s">
        <v>235</v>
      </c>
      <c r="F6" s="9" t="s">
        <v>236</v>
      </c>
      <c r="G6" s="9" t="b">
        <v>1</v>
      </c>
    </row>
    <row r="7" spans="1:7" ht="28.8" x14ac:dyDescent="0.3">
      <c r="A7" s="9">
        <v>3</v>
      </c>
      <c r="B7" s="9" t="s">
        <v>28</v>
      </c>
      <c r="C7" s="9" t="s">
        <v>62</v>
      </c>
      <c r="D7" s="9" t="s">
        <v>18</v>
      </c>
      <c r="E7" s="10" t="s">
        <v>237</v>
      </c>
      <c r="F7" s="9" t="s">
        <v>238</v>
      </c>
      <c r="G7" s="9" t="b">
        <v>1</v>
      </c>
    </row>
    <row r="8" spans="1:7" ht="28.8" x14ac:dyDescent="0.3">
      <c r="A8" s="9">
        <v>4</v>
      </c>
      <c r="B8" s="9" t="s">
        <v>29</v>
      </c>
      <c r="C8" s="9" t="s">
        <v>70</v>
      </c>
      <c r="D8" s="9" t="s">
        <v>20</v>
      </c>
      <c r="E8" s="10" t="s">
        <v>239</v>
      </c>
      <c r="F8" s="9" t="s">
        <v>240</v>
      </c>
      <c r="G8" s="9" t="b">
        <v>1</v>
      </c>
    </row>
    <row r="9" spans="1:7" ht="28.8" x14ac:dyDescent="0.3">
      <c r="A9" s="9">
        <v>5</v>
      </c>
      <c r="B9" s="9" t="s">
        <v>26</v>
      </c>
      <c r="C9" s="9" t="s">
        <v>69</v>
      </c>
      <c r="D9" s="9" t="s">
        <v>19</v>
      </c>
      <c r="E9" s="10" t="s">
        <v>241</v>
      </c>
      <c r="F9" s="9" t="s">
        <v>240</v>
      </c>
      <c r="G9" s="9" t="b">
        <v>1</v>
      </c>
    </row>
  </sheetData>
  <mergeCells count="2">
    <mergeCell ref="A1:G1"/>
    <mergeCell ref="A2:G2"/>
  </mergeCells>
  <pageMargins left="0.7" right="0.7" top="0.75" bottom="0.75" header="0.3" footer="0.3"/>
  <headerFooter>
    <oddFooter>&amp;L_x000D_&amp;1#&amp;"Aptos"&amp;7&amp;K000000 C2 General</oddFooter>
  </headerFooter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F5AF-1681-41A5-BA02-A4D06B1DF186}">
  <dimension ref="A1:I43"/>
  <sheetViews>
    <sheetView tabSelected="1" workbookViewId="0">
      <selection sqref="A1:I1"/>
    </sheetView>
  </sheetViews>
  <sheetFormatPr defaultRowHeight="14.4" x14ac:dyDescent="0.3"/>
  <cols>
    <col min="1" max="1" width="9.21875" customWidth="1"/>
    <col min="2" max="2" width="13.88671875" customWidth="1"/>
    <col min="3" max="3" width="18.5546875" customWidth="1"/>
    <col min="4" max="4" width="9.21875" customWidth="1"/>
    <col min="5" max="5" width="10.21875" customWidth="1"/>
    <col min="6" max="6" width="18.5546875" customWidth="1"/>
    <col min="7" max="8" width="29.6640625" customWidth="1"/>
    <col min="9" max="9" width="8.33203125" customWidth="1"/>
    <col min="10" max="10" width="37" customWidth="1"/>
    <col min="11" max="11" width="14.77734375" customWidth="1"/>
    <col min="12" max="12" width="18.5546875" customWidth="1"/>
    <col min="13" max="13" width="19.44140625" customWidth="1"/>
    <col min="14" max="14" width="37" customWidth="1"/>
    <col min="15" max="15" width="10.21875" customWidth="1"/>
  </cols>
  <sheetData>
    <row r="1" spans="1:9" ht="30" customHeight="1" x14ac:dyDescent="0.45">
      <c r="A1" s="6" t="s">
        <v>274</v>
      </c>
      <c r="B1" s="6"/>
      <c r="C1" s="6"/>
      <c r="D1" s="6"/>
      <c r="E1" s="6"/>
      <c r="F1" s="6"/>
      <c r="G1" s="6"/>
      <c r="H1" s="6"/>
      <c r="I1" s="6"/>
    </row>
    <row r="2" spans="1:9" ht="19.95" customHeight="1" x14ac:dyDescent="0.3">
      <c r="A2" s="8" t="s">
        <v>275</v>
      </c>
      <c r="B2" s="8"/>
      <c r="C2" s="8"/>
      <c r="D2" s="8"/>
      <c r="E2" s="8"/>
      <c r="F2" s="8"/>
      <c r="G2" s="8"/>
      <c r="H2" s="8"/>
      <c r="I2" s="8"/>
    </row>
    <row r="4" spans="1:9" x14ac:dyDescent="0.3">
      <c r="A4" s="9" t="s">
        <v>276</v>
      </c>
      <c r="B4" s="9" t="s">
        <v>5</v>
      </c>
      <c r="C4" s="9" t="s">
        <v>48</v>
      </c>
      <c r="D4" s="9" t="s">
        <v>43</v>
      </c>
      <c r="E4" s="9" t="s">
        <v>277</v>
      </c>
      <c r="F4" s="9" t="s">
        <v>394</v>
      </c>
      <c r="G4" s="9" t="s">
        <v>278</v>
      </c>
      <c r="H4" s="9" t="s">
        <v>366</v>
      </c>
      <c r="I4" s="9" t="s">
        <v>9</v>
      </c>
    </row>
    <row r="5" spans="1:9" ht="43.2" x14ac:dyDescent="0.3">
      <c r="A5" s="9" t="s">
        <v>279</v>
      </c>
      <c r="B5" s="9" t="s">
        <v>27</v>
      </c>
      <c r="C5" s="9" t="str">
        <f>INDEX(Treatment!$A$5:$A$9,MATCH(B5,Treatment!$M$5:$M$9,0))</f>
        <v>Retention_Dialer_01</v>
      </c>
      <c r="D5" s="9" t="str">
        <f>INDEX(Treatment!$C$5:$C$9,MATCH(C5,Treatment!$A$5:$A$9,0))</f>
        <v>Dialer</v>
      </c>
      <c r="E5" s="9" t="s">
        <v>40</v>
      </c>
      <c r="F5" s="9" t="s">
        <v>280</v>
      </c>
      <c r="G5" s="10" t="s">
        <v>281</v>
      </c>
      <c r="H5" s="10" t="s">
        <v>367</v>
      </c>
      <c r="I5" s="9" t="b">
        <v>1</v>
      </c>
    </row>
    <row r="6" spans="1:9" ht="57.6" x14ac:dyDescent="0.3">
      <c r="A6" s="9" t="s">
        <v>282</v>
      </c>
      <c r="B6" s="9" t="s">
        <v>27</v>
      </c>
      <c r="C6" s="9" t="str">
        <f>INDEX(Treatment!$A$5:$A$9,MATCH(B6,Treatment!$M$5:$M$9,0))</f>
        <v>Retention_Dialer_01</v>
      </c>
      <c r="D6" s="9" t="str">
        <f>INDEX(Treatment!$C$5:$C$9,MATCH(C6,Treatment!$A$5:$A$9,0))</f>
        <v>Dialer</v>
      </c>
      <c r="E6" s="9" t="s">
        <v>40</v>
      </c>
      <c r="F6" s="9" t="s">
        <v>283</v>
      </c>
      <c r="G6" s="10" t="s">
        <v>284</v>
      </c>
      <c r="H6" s="10" t="s">
        <v>368</v>
      </c>
      <c r="I6" s="9" t="b">
        <v>1</v>
      </c>
    </row>
    <row r="7" spans="1:9" ht="57.6" x14ac:dyDescent="0.3">
      <c r="A7" s="9" t="s">
        <v>285</v>
      </c>
      <c r="B7" s="9" t="s">
        <v>27</v>
      </c>
      <c r="C7" s="9" t="str">
        <f>INDEX(Treatment!$A$5:$A$9,MATCH(B7,Treatment!$M$5:$M$9,0))</f>
        <v>Retention_Dialer_01</v>
      </c>
      <c r="D7" s="9" t="str">
        <f>INDEX(Treatment!$C$5:$C$9,MATCH(C7,Treatment!$A$5:$A$9,0))</f>
        <v>Dialer</v>
      </c>
      <c r="E7" s="9" t="s">
        <v>40</v>
      </c>
      <c r="F7" s="9" t="s">
        <v>286</v>
      </c>
      <c r="G7" s="10" t="s">
        <v>287</v>
      </c>
      <c r="H7" s="10" t="s">
        <v>369</v>
      </c>
      <c r="I7" s="9" t="b">
        <v>1</v>
      </c>
    </row>
    <row r="8" spans="1:9" ht="43.2" x14ac:dyDescent="0.3">
      <c r="A8" s="9" t="s">
        <v>288</v>
      </c>
      <c r="B8" s="9" t="s">
        <v>27</v>
      </c>
      <c r="C8" s="9" t="str">
        <f>INDEX(Treatment!$A$5:$A$9,MATCH(B8,Treatment!$M$5:$M$9,0))</f>
        <v>Retention_Dialer_01</v>
      </c>
      <c r="D8" s="9" t="str">
        <f>INDEX(Treatment!$C$5:$C$9,MATCH(C8,Treatment!$A$5:$A$9,0))</f>
        <v>Dialer</v>
      </c>
      <c r="E8" s="9" t="s">
        <v>40</v>
      </c>
      <c r="F8" s="9" t="s">
        <v>289</v>
      </c>
      <c r="G8" s="10" t="s">
        <v>290</v>
      </c>
      <c r="H8" s="10" t="s">
        <v>370</v>
      </c>
      <c r="I8" s="9" t="b">
        <v>1</v>
      </c>
    </row>
    <row r="9" spans="1:9" ht="57.6" x14ac:dyDescent="0.3">
      <c r="A9" s="9" t="s">
        <v>291</v>
      </c>
      <c r="B9" s="9" t="s">
        <v>27</v>
      </c>
      <c r="C9" s="9" t="str">
        <f>INDEX(Treatment!$A$5:$A$9,MATCH(B9,Treatment!$M$5:$M$9,0))</f>
        <v>Retention_Dialer_01</v>
      </c>
      <c r="D9" s="9" t="str">
        <f>INDEX(Treatment!$C$5:$C$9,MATCH(C9,Treatment!$A$5:$A$9,0))</f>
        <v>Dialer</v>
      </c>
      <c r="E9" s="9" t="s">
        <v>40</v>
      </c>
      <c r="F9" s="9" t="s">
        <v>292</v>
      </c>
      <c r="G9" s="10" t="s">
        <v>293</v>
      </c>
      <c r="H9" s="10" t="s">
        <v>371</v>
      </c>
      <c r="I9" s="9" t="b">
        <v>1</v>
      </c>
    </row>
    <row r="10" spans="1:9" ht="57.6" x14ac:dyDescent="0.3">
      <c r="A10" s="9" t="s">
        <v>294</v>
      </c>
      <c r="B10" s="9" t="s">
        <v>27</v>
      </c>
      <c r="C10" s="9" t="str">
        <f>INDEX(Treatment!$A$5:$A$9,MATCH(B10,Treatment!$M$5:$M$9,0))</f>
        <v>Retention_Dialer_01</v>
      </c>
      <c r="D10" s="9" t="str">
        <f>INDEX(Treatment!$C$5:$C$9,MATCH(C10,Treatment!$A$5:$A$9,0))</f>
        <v>Dialer</v>
      </c>
      <c r="E10" s="9" t="s">
        <v>40</v>
      </c>
      <c r="F10" s="9" t="s">
        <v>295</v>
      </c>
      <c r="G10" s="10" t="s">
        <v>296</v>
      </c>
      <c r="H10" s="10" t="s">
        <v>372</v>
      </c>
      <c r="I10" s="9" t="b">
        <v>1</v>
      </c>
    </row>
    <row r="11" spans="1:9" ht="43.2" x14ac:dyDescent="0.3">
      <c r="A11" s="9" t="s">
        <v>297</v>
      </c>
      <c r="B11" s="9" t="s">
        <v>27</v>
      </c>
      <c r="C11" s="9" t="str">
        <f>INDEX(Treatment!$A$5:$A$9,MATCH(B11,Treatment!$M$5:$M$9,0))</f>
        <v>Retention_Dialer_01</v>
      </c>
      <c r="D11" s="9" t="str">
        <f>INDEX(Treatment!$C$5:$C$9,MATCH(C11,Treatment!$A$5:$A$9,0))</f>
        <v>Dialer</v>
      </c>
      <c r="E11" s="9" t="s">
        <v>40</v>
      </c>
      <c r="F11" s="9" t="s">
        <v>46</v>
      </c>
      <c r="G11" s="10" t="s">
        <v>298</v>
      </c>
      <c r="H11" s="10" t="s">
        <v>373</v>
      </c>
      <c r="I11" s="9" t="b">
        <v>1</v>
      </c>
    </row>
    <row r="12" spans="1:9" ht="43.2" x14ac:dyDescent="0.3">
      <c r="A12" s="9" t="s">
        <v>299</v>
      </c>
      <c r="B12" s="9" t="s">
        <v>28</v>
      </c>
      <c r="C12" s="9" t="str">
        <f>INDEX(Treatment!$A$5:$A$9,MATCH(B12,Treatment!$M$5:$M$9,0))</f>
        <v>Prevention_Email_01</v>
      </c>
      <c r="D12" s="9" t="str">
        <f>INDEX(Treatment!$C$5:$C$9,MATCH(C12,Treatment!$A$5:$A$9,0))</f>
        <v>Email</v>
      </c>
      <c r="E12" s="9" t="s">
        <v>40</v>
      </c>
      <c r="F12" s="9" t="s">
        <v>300</v>
      </c>
      <c r="G12" s="10" t="s">
        <v>301</v>
      </c>
      <c r="H12" s="10" t="s">
        <v>374</v>
      </c>
      <c r="I12" s="9" t="b">
        <v>1</v>
      </c>
    </row>
    <row r="13" spans="1:9" ht="43.2" x14ac:dyDescent="0.3">
      <c r="A13" s="9" t="s">
        <v>302</v>
      </c>
      <c r="B13" s="9" t="s">
        <v>28</v>
      </c>
      <c r="C13" s="9" t="str">
        <f>INDEX(Treatment!$A$5:$A$9,MATCH(B13,Treatment!$M$5:$M$9,0))</f>
        <v>Prevention_Email_01</v>
      </c>
      <c r="D13" s="9" t="str">
        <f>INDEX(Treatment!$C$5:$C$9,MATCH(C13,Treatment!$A$5:$A$9,0))</f>
        <v>Email</v>
      </c>
      <c r="E13" s="9" t="s">
        <v>40</v>
      </c>
      <c r="F13" s="9" t="s">
        <v>303</v>
      </c>
      <c r="G13" s="10" t="s">
        <v>304</v>
      </c>
      <c r="H13" s="10" t="s">
        <v>375</v>
      </c>
      <c r="I13" s="9" t="b">
        <v>1</v>
      </c>
    </row>
    <row r="14" spans="1:9" ht="43.2" x14ac:dyDescent="0.3">
      <c r="A14" s="9" t="s">
        <v>305</v>
      </c>
      <c r="B14" s="9" t="s">
        <v>28</v>
      </c>
      <c r="C14" s="9" t="str">
        <f>INDEX(Treatment!$A$5:$A$9,MATCH(B14,Treatment!$M$5:$M$9,0))</f>
        <v>Prevention_Email_01</v>
      </c>
      <c r="D14" s="9" t="str">
        <f>INDEX(Treatment!$C$5:$C$9,MATCH(C14,Treatment!$A$5:$A$9,0))</f>
        <v>Email</v>
      </c>
      <c r="E14" s="9" t="s">
        <v>40</v>
      </c>
      <c r="F14" s="9" t="s">
        <v>306</v>
      </c>
      <c r="G14" s="10" t="s">
        <v>307</v>
      </c>
      <c r="H14" s="10" t="s">
        <v>376</v>
      </c>
      <c r="I14" s="9" t="b">
        <v>1</v>
      </c>
    </row>
    <row r="15" spans="1:9" ht="43.2" x14ac:dyDescent="0.3">
      <c r="A15" s="9" t="s">
        <v>308</v>
      </c>
      <c r="B15" s="9" t="s">
        <v>28</v>
      </c>
      <c r="C15" s="9" t="str">
        <f>INDEX(Treatment!$A$5:$A$9,MATCH(B15,Treatment!$M$5:$M$9,0))</f>
        <v>Prevention_Email_01</v>
      </c>
      <c r="D15" s="9" t="str">
        <f>INDEX(Treatment!$C$5:$C$9,MATCH(C15,Treatment!$A$5:$A$9,0))</f>
        <v>Email</v>
      </c>
      <c r="E15" s="9" t="s">
        <v>40</v>
      </c>
      <c r="F15" s="9" t="s">
        <v>309</v>
      </c>
      <c r="G15" s="10" t="s">
        <v>310</v>
      </c>
      <c r="H15" s="10" t="s">
        <v>377</v>
      </c>
      <c r="I15" s="9" t="b">
        <v>1</v>
      </c>
    </row>
    <row r="16" spans="1:9" ht="57.6" x14ac:dyDescent="0.3">
      <c r="A16" s="9" t="s">
        <v>311</v>
      </c>
      <c r="B16" s="9" t="s">
        <v>28</v>
      </c>
      <c r="C16" s="9" t="str">
        <f>INDEX(Treatment!$A$5:$A$9,MATCH(B16,Treatment!$M$5:$M$9,0))</f>
        <v>Prevention_Email_01</v>
      </c>
      <c r="D16" s="9" t="str">
        <f>INDEX(Treatment!$C$5:$C$9,MATCH(C16,Treatment!$A$5:$A$9,0))</f>
        <v>Email</v>
      </c>
      <c r="E16" s="9" t="s">
        <v>40</v>
      </c>
      <c r="F16" s="9" t="s">
        <v>286</v>
      </c>
      <c r="G16" s="10" t="s">
        <v>312</v>
      </c>
      <c r="H16" s="10" t="s">
        <v>369</v>
      </c>
      <c r="I16" s="9" t="b">
        <v>1</v>
      </c>
    </row>
    <row r="17" spans="1:9" ht="57.6" x14ac:dyDescent="0.3">
      <c r="A17" s="9" t="s">
        <v>313</v>
      </c>
      <c r="B17" s="9" t="s">
        <v>28</v>
      </c>
      <c r="C17" s="9" t="str">
        <f>INDEX(Treatment!$A$5:$A$9,MATCH(B17,Treatment!$M$5:$M$9,0))</f>
        <v>Prevention_Email_01</v>
      </c>
      <c r="D17" s="9" t="str">
        <f>INDEX(Treatment!$C$5:$C$9,MATCH(C17,Treatment!$A$5:$A$9,0))</f>
        <v>Email</v>
      </c>
      <c r="E17" s="9" t="s">
        <v>40</v>
      </c>
      <c r="F17" s="9" t="s">
        <v>289</v>
      </c>
      <c r="G17" s="10" t="s">
        <v>314</v>
      </c>
      <c r="H17" s="10" t="s">
        <v>378</v>
      </c>
      <c r="I17" s="9" t="b">
        <v>1</v>
      </c>
    </row>
    <row r="18" spans="1:9" ht="57.6" x14ac:dyDescent="0.3">
      <c r="A18" s="9" t="s">
        <v>315</v>
      </c>
      <c r="B18" s="9" t="s">
        <v>28</v>
      </c>
      <c r="C18" s="9" t="str">
        <f>INDEX(Treatment!$A$5:$A$9,MATCH(B18,Treatment!$M$5:$M$9,0))</f>
        <v>Prevention_Email_01</v>
      </c>
      <c r="D18" s="9" t="str">
        <f>INDEX(Treatment!$C$5:$C$9,MATCH(C18,Treatment!$A$5:$A$9,0))</f>
        <v>Email</v>
      </c>
      <c r="E18" s="9" t="s">
        <v>40</v>
      </c>
      <c r="F18" s="9" t="s">
        <v>316</v>
      </c>
      <c r="G18" s="10" t="s">
        <v>317</v>
      </c>
      <c r="H18" s="10" t="s">
        <v>379</v>
      </c>
      <c r="I18" s="9" t="b">
        <v>1</v>
      </c>
    </row>
    <row r="19" spans="1:9" ht="57.6" x14ac:dyDescent="0.3">
      <c r="A19" s="9" t="s">
        <v>318</v>
      </c>
      <c r="B19" s="9" t="s">
        <v>28</v>
      </c>
      <c r="C19" s="9" t="str">
        <f>INDEX(Treatment!$A$5:$A$9,MATCH(B19,Treatment!$M$5:$M$9,0))</f>
        <v>Prevention_Email_01</v>
      </c>
      <c r="D19" s="9" t="str">
        <f>INDEX(Treatment!$C$5:$C$9,MATCH(C19,Treatment!$A$5:$A$9,0))</f>
        <v>Email</v>
      </c>
      <c r="E19" s="9" t="s">
        <v>40</v>
      </c>
      <c r="F19" s="9" t="s">
        <v>295</v>
      </c>
      <c r="G19" s="10" t="s">
        <v>319</v>
      </c>
      <c r="H19" s="10" t="s">
        <v>380</v>
      </c>
      <c r="I19" s="9" t="b">
        <v>1</v>
      </c>
    </row>
    <row r="20" spans="1:9" ht="43.2" x14ac:dyDescent="0.3">
      <c r="A20" s="9" t="s">
        <v>320</v>
      </c>
      <c r="B20" s="9" t="s">
        <v>28</v>
      </c>
      <c r="C20" s="9" t="str">
        <f>INDEX(Treatment!$A$5:$A$9,MATCH(B20,Treatment!$M$5:$M$9,0))</f>
        <v>Prevention_Email_01</v>
      </c>
      <c r="D20" s="9" t="str">
        <f>INDEX(Treatment!$C$5:$C$9,MATCH(C20,Treatment!$A$5:$A$9,0))</f>
        <v>Email</v>
      </c>
      <c r="E20" s="9" t="s">
        <v>40</v>
      </c>
      <c r="F20" s="9" t="s">
        <v>46</v>
      </c>
      <c r="G20" s="10" t="s">
        <v>321</v>
      </c>
      <c r="H20" s="10" t="s">
        <v>381</v>
      </c>
      <c r="I20" s="9" t="b">
        <v>1</v>
      </c>
    </row>
    <row r="21" spans="1:9" ht="43.2" x14ac:dyDescent="0.3">
      <c r="A21" s="9" t="s">
        <v>322</v>
      </c>
      <c r="B21" s="9" t="s">
        <v>26</v>
      </c>
      <c r="C21" s="9" t="str">
        <f>INDEX(Treatment!$A$5:$A$9,MATCH(B21,Treatment!$M$5:$M$9,0))</f>
        <v>CrossSell_Email_01</v>
      </c>
      <c r="D21" s="9" t="str">
        <f>INDEX(Treatment!$C$5:$C$9,MATCH(C21,Treatment!$A$5:$A$9,0))</f>
        <v>Email</v>
      </c>
      <c r="E21" s="9" t="s">
        <v>40</v>
      </c>
      <c r="F21" s="9" t="s">
        <v>300</v>
      </c>
      <c r="G21" s="10" t="s">
        <v>323</v>
      </c>
      <c r="H21" s="10" t="s">
        <v>374</v>
      </c>
      <c r="I21" s="9" t="b">
        <v>1</v>
      </c>
    </row>
    <row r="22" spans="1:9" ht="43.2" x14ac:dyDescent="0.3">
      <c r="A22" s="9" t="s">
        <v>324</v>
      </c>
      <c r="B22" s="9" t="s">
        <v>26</v>
      </c>
      <c r="C22" s="9" t="str">
        <f>INDEX(Treatment!$A$5:$A$9,MATCH(B22,Treatment!$M$5:$M$9,0))</f>
        <v>CrossSell_Email_01</v>
      </c>
      <c r="D22" s="9" t="str">
        <f>INDEX(Treatment!$C$5:$C$9,MATCH(C22,Treatment!$A$5:$A$9,0))</f>
        <v>Email</v>
      </c>
      <c r="E22" s="9" t="s">
        <v>40</v>
      </c>
      <c r="F22" s="9" t="s">
        <v>303</v>
      </c>
      <c r="G22" s="10" t="s">
        <v>304</v>
      </c>
      <c r="H22" s="10" t="s">
        <v>375</v>
      </c>
      <c r="I22" s="9" t="b">
        <v>1</v>
      </c>
    </row>
    <row r="23" spans="1:9" ht="43.2" x14ac:dyDescent="0.3">
      <c r="A23" s="9" t="s">
        <v>325</v>
      </c>
      <c r="B23" s="9" t="s">
        <v>26</v>
      </c>
      <c r="C23" s="9" t="str">
        <f>INDEX(Treatment!$A$5:$A$9,MATCH(B23,Treatment!$M$5:$M$9,0))</f>
        <v>CrossSell_Email_01</v>
      </c>
      <c r="D23" s="9" t="str">
        <f>INDEX(Treatment!$C$5:$C$9,MATCH(C23,Treatment!$A$5:$A$9,0))</f>
        <v>Email</v>
      </c>
      <c r="E23" s="9" t="s">
        <v>40</v>
      </c>
      <c r="F23" s="9" t="s">
        <v>306</v>
      </c>
      <c r="G23" s="10" t="s">
        <v>307</v>
      </c>
      <c r="H23" s="10" t="s">
        <v>376</v>
      </c>
      <c r="I23" s="9" t="b">
        <v>1</v>
      </c>
    </row>
    <row r="24" spans="1:9" ht="43.2" x14ac:dyDescent="0.3">
      <c r="A24" s="9" t="s">
        <v>326</v>
      </c>
      <c r="B24" s="9" t="s">
        <v>26</v>
      </c>
      <c r="C24" s="9" t="str">
        <f>INDEX(Treatment!$A$5:$A$9,MATCH(B24,Treatment!$M$5:$M$9,0))</f>
        <v>CrossSell_Email_01</v>
      </c>
      <c r="D24" s="9" t="str">
        <f>INDEX(Treatment!$C$5:$C$9,MATCH(C24,Treatment!$A$5:$A$9,0))</f>
        <v>Email</v>
      </c>
      <c r="E24" s="9" t="s">
        <v>40</v>
      </c>
      <c r="F24" s="9" t="s">
        <v>309</v>
      </c>
      <c r="G24" s="10" t="s">
        <v>310</v>
      </c>
      <c r="H24" s="10" t="s">
        <v>377</v>
      </c>
      <c r="I24" s="9" t="b">
        <v>1</v>
      </c>
    </row>
    <row r="25" spans="1:9" ht="57.6" x14ac:dyDescent="0.3">
      <c r="A25" s="9" t="s">
        <v>327</v>
      </c>
      <c r="B25" s="9" t="s">
        <v>26</v>
      </c>
      <c r="C25" s="9" t="str">
        <f>INDEX(Treatment!$A$5:$A$9,MATCH(B25,Treatment!$M$5:$M$9,0))</f>
        <v>CrossSell_Email_01</v>
      </c>
      <c r="D25" s="9" t="str">
        <f>INDEX(Treatment!$C$5:$C$9,MATCH(C25,Treatment!$A$5:$A$9,0))</f>
        <v>Email</v>
      </c>
      <c r="E25" s="9" t="s">
        <v>40</v>
      </c>
      <c r="F25" s="9" t="s">
        <v>286</v>
      </c>
      <c r="G25" s="10" t="s">
        <v>312</v>
      </c>
      <c r="H25" s="10" t="s">
        <v>369</v>
      </c>
      <c r="I25" s="9" t="b">
        <v>1</v>
      </c>
    </row>
    <row r="26" spans="1:9" ht="57.6" x14ac:dyDescent="0.3">
      <c r="A26" s="9" t="s">
        <v>328</v>
      </c>
      <c r="B26" s="9" t="s">
        <v>26</v>
      </c>
      <c r="C26" s="9" t="str">
        <f>INDEX(Treatment!$A$5:$A$9,MATCH(B26,Treatment!$M$5:$M$9,0))</f>
        <v>CrossSell_Email_01</v>
      </c>
      <c r="D26" s="9" t="str">
        <f>INDEX(Treatment!$C$5:$C$9,MATCH(C26,Treatment!$A$5:$A$9,0))</f>
        <v>Email</v>
      </c>
      <c r="E26" s="9" t="s">
        <v>40</v>
      </c>
      <c r="F26" s="9" t="s">
        <v>289</v>
      </c>
      <c r="G26" s="10" t="s">
        <v>329</v>
      </c>
      <c r="H26" s="10" t="s">
        <v>382</v>
      </c>
      <c r="I26" s="9" t="b">
        <v>1</v>
      </c>
    </row>
    <row r="27" spans="1:9" ht="57.6" x14ac:dyDescent="0.3">
      <c r="A27" s="9" t="s">
        <v>330</v>
      </c>
      <c r="B27" s="9" t="s">
        <v>26</v>
      </c>
      <c r="C27" s="9" t="str">
        <f>INDEX(Treatment!$A$5:$A$9,MATCH(B27,Treatment!$M$5:$M$9,0))</f>
        <v>CrossSell_Email_01</v>
      </c>
      <c r="D27" s="9" t="str">
        <f>INDEX(Treatment!$C$5:$C$9,MATCH(C27,Treatment!$A$5:$A$9,0))</f>
        <v>Email</v>
      </c>
      <c r="E27" s="9" t="s">
        <v>40</v>
      </c>
      <c r="F27" s="9" t="s">
        <v>316</v>
      </c>
      <c r="G27" s="10" t="s">
        <v>317</v>
      </c>
      <c r="H27" s="10" t="s">
        <v>379</v>
      </c>
      <c r="I27" s="9" t="b">
        <v>1</v>
      </c>
    </row>
    <row r="28" spans="1:9" ht="57.6" x14ac:dyDescent="0.3">
      <c r="A28" s="9" t="s">
        <v>331</v>
      </c>
      <c r="B28" s="9" t="s">
        <v>26</v>
      </c>
      <c r="C28" s="9" t="str">
        <f>INDEX(Treatment!$A$5:$A$9,MATCH(B28,Treatment!$M$5:$M$9,0))</f>
        <v>CrossSell_Email_01</v>
      </c>
      <c r="D28" s="9" t="str">
        <f>INDEX(Treatment!$C$5:$C$9,MATCH(C28,Treatment!$A$5:$A$9,0))</f>
        <v>Email</v>
      </c>
      <c r="E28" s="9" t="s">
        <v>40</v>
      </c>
      <c r="F28" s="9" t="s">
        <v>295</v>
      </c>
      <c r="G28" s="10" t="s">
        <v>319</v>
      </c>
      <c r="H28" s="10" t="s">
        <v>380</v>
      </c>
      <c r="I28" s="9" t="b">
        <v>1</v>
      </c>
    </row>
    <row r="29" spans="1:9" ht="43.2" x14ac:dyDescent="0.3">
      <c r="A29" s="9" t="s">
        <v>332</v>
      </c>
      <c r="B29" s="9" t="s">
        <v>26</v>
      </c>
      <c r="C29" s="9" t="str">
        <f>INDEX(Treatment!$A$5:$A$9,MATCH(B29,Treatment!$M$5:$M$9,0))</f>
        <v>CrossSell_Email_01</v>
      </c>
      <c r="D29" s="9" t="str">
        <f>INDEX(Treatment!$C$5:$C$9,MATCH(C29,Treatment!$A$5:$A$9,0))</f>
        <v>Email</v>
      </c>
      <c r="E29" s="9" t="s">
        <v>40</v>
      </c>
      <c r="F29" s="9" t="s">
        <v>46</v>
      </c>
      <c r="G29" s="10" t="s">
        <v>321</v>
      </c>
      <c r="H29" s="10" t="s">
        <v>381</v>
      </c>
      <c r="I29" s="9" t="b">
        <v>1</v>
      </c>
    </row>
    <row r="30" spans="1:9" ht="43.2" x14ac:dyDescent="0.3">
      <c r="A30" s="9" t="s">
        <v>333</v>
      </c>
      <c r="B30" s="9" t="s">
        <v>29</v>
      </c>
      <c r="C30" s="9" t="str">
        <f>INDEX(Treatment!$A$5:$A$9,MATCH(B30,Treatment!$M$5:$M$9,0))</f>
        <v>UpSell_Letter_01</v>
      </c>
      <c r="D30" s="9" t="str">
        <f>INDEX(Treatment!$C$5:$C$9,MATCH(C30,Treatment!$A$5:$A$9,0))</f>
        <v>Letter</v>
      </c>
      <c r="E30" s="9" t="s">
        <v>40</v>
      </c>
      <c r="F30" s="9" t="s">
        <v>334</v>
      </c>
      <c r="G30" s="10" t="s">
        <v>335</v>
      </c>
      <c r="H30" s="10" t="s">
        <v>383</v>
      </c>
      <c r="I30" s="9" t="b">
        <v>1</v>
      </c>
    </row>
    <row r="31" spans="1:9" ht="43.2" x14ac:dyDescent="0.3">
      <c r="A31" s="9" t="s">
        <v>336</v>
      </c>
      <c r="B31" s="9" t="s">
        <v>29</v>
      </c>
      <c r="C31" s="9" t="str">
        <f>INDEX(Treatment!$A$5:$A$9,MATCH(B31,Treatment!$M$5:$M$9,0))</f>
        <v>UpSell_Letter_01</v>
      </c>
      <c r="D31" s="9" t="str">
        <f>INDEX(Treatment!$C$5:$C$9,MATCH(C31,Treatment!$A$5:$A$9,0))</f>
        <v>Letter</v>
      </c>
      <c r="E31" s="9" t="s">
        <v>40</v>
      </c>
      <c r="F31" s="9" t="s">
        <v>337</v>
      </c>
      <c r="G31" s="10" t="s">
        <v>338</v>
      </c>
      <c r="H31" s="10" t="s">
        <v>384</v>
      </c>
      <c r="I31" s="9" t="b">
        <v>1</v>
      </c>
    </row>
    <row r="32" spans="1:9" ht="57.6" x14ac:dyDescent="0.3">
      <c r="A32" s="9" t="s">
        <v>339</v>
      </c>
      <c r="B32" s="9" t="s">
        <v>29</v>
      </c>
      <c r="C32" s="9" t="str">
        <f>INDEX(Treatment!$A$5:$A$9,MATCH(B32,Treatment!$M$5:$M$9,0))</f>
        <v>UpSell_Letter_01</v>
      </c>
      <c r="D32" s="9" t="str">
        <f>INDEX(Treatment!$C$5:$C$9,MATCH(C32,Treatment!$A$5:$A$9,0))</f>
        <v>Letter</v>
      </c>
      <c r="E32" s="9" t="s">
        <v>40</v>
      </c>
      <c r="F32" s="9" t="s">
        <v>286</v>
      </c>
      <c r="G32" s="10" t="s">
        <v>312</v>
      </c>
      <c r="H32" s="10" t="s">
        <v>369</v>
      </c>
      <c r="I32" s="9" t="b">
        <v>1</v>
      </c>
    </row>
    <row r="33" spans="1:9" ht="57.6" x14ac:dyDescent="0.3">
      <c r="A33" s="9" t="s">
        <v>340</v>
      </c>
      <c r="B33" s="9" t="s">
        <v>29</v>
      </c>
      <c r="C33" s="9" t="str">
        <f>INDEX(Treatment!$A$5:$A$9,MATCH(B33,Treatment!$M$5:$M$9,0))</f>
        <v>UpSell_Letter_01</v>
      </c>
      <c r="D33" s="9" t="str">
        <f>INDEX(Treatment!$C$5:$C$9,MATCH(C33,Treatment!$A$5:$A$9,0))</f>
        <v>Letter</v>
      </c>
      <c r="E33" s="9" t="s">
        <v>40</v>
      </c>
      <c r="F33" s="9" t="s">
        <v>289</v>
      </c>
      <c r="G33" s="10" t="s">
        <v>341</v>
      </c>
      <c r="H33" s="10" t="s">
        <v>385</v>
      </c>
      <c r="I33" s="9" t="b">
        <v>1</v>
      </c>
    </row>
    <row r="34" spans="1:9" ht="57.6" x14ac:dyDescent="0.3">
      <c r="A34" s="9" t="s">
        <v>342</v>
      </c>
      <c r="B34" s="9" t="s">
        <v>29</v>
      </c>
      <c r="C34" s="9" t="str">
        <f>INDEX(Treatment!$A$5:$A$9,MATCH(B34,Treatment!$M$5:$M$9,0))</f>
        <v>UpSell_Letter_01</v>
      </c>
      <c r="D34" s="9" t="str">
        <f>INDEX(Treatment!$C$5:$C$9,MATCH(C34,Treatment!$A$5:$A$9,0))</f>
        <v>Letter</v>
      </c>
      <c r="E34" s="9" t="s">
        <v>40</v>
      </c>
      <c r="F34" s="9" t="s">
        <v>343</v>
      </c>
      <c r="G34" s="10" t="s">
        <v>344</v>
      </c>
      <c r="H34" s="10" t="s">
        <v>386</v>
      </c>
      <c r="I34" s="9" t="b">
        <v>1</v>
      </c>
    </row>
    <row r="35" spans="1:9" ht="57.6" x14ac:dyDescent="0.3">
      <c r="A35" s="9" t="s">
        <v>345</v>
      </c>
      <c r="B35" s="9" t="s">
        <v>29</v>
      </c>
      <c r="C35" s="9" t="str">
        <f>INDEX(Treatment!$A$5:$A$9,MATCH(B35,Treatment!$M$5:$M$9,0))</f>
        <v>UpSell_Letter_01</v>
      </c>
      <c r="D35" s="9" t="str">
        <f>INDEX(Treatment!$C$5:$C$9,MATCH(C35,Treatment!$A$5:$A$9,0))</f>
        <v>Letter</v>
      </c>
      <c r="E35" s="9" t="s">
        <v>40</v>
      </c>
      <c r="F35" s="9" t="s">
        <v>295</v>
      </c>
      <c r="G35" s="10" t="s">
        <v>296</v>
      </c>
      <c r="H35" s="10" t="s">
        <v>372</v>
      </c>
      <c r="I35" s="9" t="b">
        <v>1</v>
      </c>
    </row>
    <row r="36" spans="1:9" ht="43.2" x14ac:dyDescent="0.3">
      <c r="A36" s="9" t="s">
        <v>346</v>
      </c>
      <c r="B36" s="9" t="s">
        <v>29</v>
      </c>
      <c r="C36" s="9" t="str">
        <f>INDEX(Treatment!$A$5:$A$9,MATCH(B36,Treatment!$M$5:$M$9,0))</f>
        <v>UpSell_Letter_01</v>
      </c>
      <c r="D36" s="9" t="str">
        <f>INDEX(Treatment!$C$5:$C$9,MATCH(C36,Treatment!$A$5:$A$9,0))</f>
        <v>Letter</v>
      </c>
      <c r="E36" s="9" t="s">
        <v>40</v>
      </c>
      <c r="F36" s="9" t="s">
        <v>46</v>
      </c>
      <c r="G36" s="10" t="s">
        <v>347</v>
      </c>
      <c r="H36" s="10" t="s">
        <v>387</v>
      </c>
      <c r="I36" s="9" t="b">
        <v>1</v>
      </c>
    </row>
    <row r="37" spans="1:9" ht="43.2" x14ac:dyDescent="0.3">
      <c r="A37" s="9" t="s">
        <v>348</v>
      </c>
      <c r="B37" s="9" t="s">
        <v>25</v>
      </c>
      <c r="C37" s="9" t="str">
        <f>INDEX(Treatment!$A$5:$A$9,MATCH(B37,Treatment!$M$5:$M$9,0))</f>
        <v>Emergency_TR_01</v>
      </c>
      <c r="D37" s="9" t="str">
        <f>INDEX(Treatment!$C$5:$C$9,MATCH(C37,Treatment!$A$5:$A$9,0))</f>
        <v>SMS</v>
      </c>
      <c r="E37" s="9" t="s">
        <v>40</v>
      </c>
      <c r="F37" s="9" t="s">
        <v>349</v>
      </c>
      <c r="G37" s="10" t="s">
        <v>350</v>
      </c>
      <c r="H37" s="10" t="s">
        <v>388</v>
      </c>
      <c r="I37" s="9" t="b">
        <v>1</v>
      </c>
    </row>
    <row r="38" spans="1:9" ht="43.2" x14ac:dyDescent="0.3">
      <c r="A38" s="9" t="s">
        <v>351</v>
      </c>
      <c r="B38" s="9" t="s">
        <v>25</v>
      </c>
      <c r="C38" s="9" t="str">
        <f>INDEX(Treatment!$A$5:$A$9,MATCH(B38,Treatment!$M$5:$M$9,0))</f>
        <v>Emergency_TR_01</v>
      </c>
      <c r="D38" s="9" t="str">
        <f>INDEX(Treatment!$C$5:$C$9,MATCH(C38,Treatment!$A$5:$A$9,0))</f>
        <v>SMS</v>
      </c>
      <c r="E38" s="9" t="s">
        <v>40</v>
      </c>
      <c r="F38" s="9" t="s">
        <v>352</v>
      </c>
      <c r="G38" s="10" t="s">
        <v>353</v>
      </c>
      <c r="H38" s="10" t="s">
        <v>389</v>
      </c>
      <c r="I38" s="9" t="b">
        <v>1</v>
      </c>
    </row>
    <row r="39" spans="1:9" ht="57.6" x14ac:dyDescent="0.3">
      <c r="A39" s="9" t="s">
        <v>354</v>
      </c>
      <c r="B39" s="9" t="s">
        <v>25</v>
      </c>
      <c r="C39" s="9" t="str">
        <f>INDEX(Treatment!$A$5:$A$9,MATCH(B39,Treatment!$M$5:$M$9,0))</f>
        <v>Emergency_TR_01</v>
      </c>
      <c r="D39" s="9" t="str">
        <f>INDEX(Treatment!$C$5:$C$9,MATCH(C39,Treatment!$A$5:$A$9,0))</f>
        <v>SMS</v>
      </c>
      <c r="E39" s="9" t="s">
        <v>40</v>
      </c>
      <c r="F39" s="9" t="s">
        <v>286</v>
      </c>
      <c r="G39" s="10" t="s">
        <v>355</v>
      </c>
      <c r="H39" s="10" t="s">
        <v>390</v>
      </c>
      <c r="I39" s="9" t="b">
        <v>1</v>
      </c>
    </row>
    <row r="40" spans="1:9" ht="57.6" x14ac:dyDescent="0.3">
      <c r="A40" s="9" t="s">
        <v>356</v>
      </c>
      <c r="B40" s="9" t="s">
        <v>25</v>
      </c>
      <c r="C40" s="9" t="str">
        <f>INDEX(Treatment!$A$5:$A$9,MATCH(B40,Treatment!$M$5:$M$9,0))</f>
        <v>Emergency_TR_01</v>
      </c>
      <c r="D40" s="9" t="str">
        <f>INDEX(Treatment!$C$5:$C$9,MATCH(C40,Treatment!$A$5:$A$9,0))</f>
        <v>SMS</v>
      </c>
      <c r="E40" s="9" t="s">
        <v>40</v>
      </c>
      <c r="F40" s="9" t="s">
        <v>289</v>
      </c>
      <c r="G40" s="10" t="s">
        <v>357</v>
      </c>
      <c r="H40" s="10" t="s">
        <v>391</v>
      </c>
      <c r="I40" s="9" t="b">
        <v>1</v>
      </c>
    </row>
    <row r="41" spans="1:9" ht="43.2" x14ac:dyDescent="0.3">
      <c r="A41" s="9" t="s">
        <v>358</v>
      </c>
      <c r="B41" s="9" t="s">
        <v>25</v>
      </c>
      <c r="C41" s="9" t="str">
        <f>INDEX(Treatment!$A$5:$A$9,MATCH(B41,Treatment!$M$5:$M$9,0))</f>
        <v>Emergency_TR_01</v>
      </c>
      <c r="D41" s="9" t="str">
        <f>INDEX(Treatment!$C$5:$C$9,MATCH(C41,Treatment!$A$5:$A$9,0))</f>
        <v>SMS</v>
      </c>
      <c r="E41" s="9" t="s">
        <v>40</v>
      </c>
      <c r="F41" s="9" t="s">
        <v>359</v>
      </c>
      <c r="G41" s="10" t="s">
        <v>360</v>
      </c>
      <c r="H41" s="10" t="s">
        <v>392</v>
      </c>
      <c r="I41" s="9" t="b">
        <v>1</v>
      </c>
    </row>
    <row r="42" spans="1:9" ht="57.6" x14ac:dyDescent="0.3">
      <c r="A42" s="9" t="s">
        <v>361</v>
      </c>
      <c r="B42" s="9" t="s">
        <v>25</v>
      </c>
      <c r="C42" s="9" t="str">
        <f>INDEX(Treatment!$A$5:$A$9,MATCH(B42,Treatment!$M$5:$M$9,0))</f>
        <v>Emergency_TR_01</v>
      </c>
      <c r="D42" s="9" t="str">
        <f>INDEX(Treatment!$C$5:$C$9,MATCH(C42,Treatment!$A$5:$A$9,0))</f>
        <v>SMS</v>
      </c>
      <c r="E42" s="9" t="s">
        <v>40</v>
      </c>
      <c r="F42" s="9" t="s">
        <v>295</v>
      </c>
      <c r="G42" s="10" t="s">
        <v>362</v>
      </c>
      <c r="H42" s="10" t="s">
        <v>372</v>
      </c>
      <c r="I42" s="9" t="b">
        <v>1</v>
      </c>
    </row>
    <row r="43" spans="1:9" ht="43.2" x14ac:dyDescent="0.3">
      <c r="A43" s="9" t="s">
        <v>363</v>
      </c>
      <c r="B43" s="9" t="s">
        <v>25</v>
      </c>
      <c r="C43" s="9" t="str">
        <f>INDEX(Treatment!$A$5:$A$9,MATCH(B43,Treatment!$M$5:$M$9,0))</f>
        <v>Emergency_TR_01</v>
      </c>
      <c r="D43" s="9" t="str">
        <f>INDEX(Treatment!$C$5:$C$9,MATCH(C43,Treatment!$A$5:$A$9,0))</f>
        <v>SMS</v>
      </c>
      <c r="E43" s="9" t="s">
        <v>40</v>
      </c>
      <c r="F43" s="9" t="s">
        <v>46</v>
      </c>
      <c r="G43" s="10" t="s">
        <v>364</v>
      </c>
      <c r="H43" s="10" t="s">
        <v>393</v>
      </c>
      <c r="I43" s="9" t="b">
        <v>1</v>
      </c>
    </row>
  </sheetData>
  <mergeCells count="2">
    <mergeCell ref="A1:I1"/>
    <mergeCell ref="A2:I2"/>
  </mergeCells>
  <pageMargins left="0.7" right="0.7" top="0.75" bottom="0.75" header="0.3" footer="0.3"/>
  <headerFooter>
    <oddFooter>&amp;L_x000D_&amp;1#&amp;"Aptos"&amp;7&amp;K000000 C2 General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Proposition</vt:lpstr>
      <vt:lpstr>Treatment</vt:lpstr>
      <vt:lpstr>Suppression Rule</vt:lpstr>
      <vt:lpstr>Contact Policy</vt:lpstr>
      <vt:lpstr>Contact Rule</vt:lpstr>
      <vt:lpstr>Control Group</vt:lpstr>
      <vt:lpstr>Frequency</vt:lpstr>
      <vt:lpstr>Volume Constraint</vt:lpstr>
      <vt:lpstr>Email Metadata</vt:lpstr>
      <vt:lpstr>SMS Metadata</vt:lpstr>
      <vt:lpstr>Letter Metadata</vt:lpstr>
      <vt:lpstr>Dialer Metadata</vt:lpstr>
      <vt:lpstr>Response Table</vt:lpstr>
      <vt:lpstr>Prioritization Table</vt:lpstr>
      <vt:lpstr>Reporting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Kumar, Vodafone</dc:creator>
  <cp:lastModifiedBy>Neeraj Kumar, Vodafone</cp:lastModifiedBy>
  <dcterms:created xsi:type="dcterms:W3CDTF">2026-08-30T11:55:47Z</dcterms:created>
  <dcterms:modified xsi:type="dcterms:W3CDTF">2026-08-30T18:25:50Z</dcterms:modified>
</cp:coreProperties>
</file>